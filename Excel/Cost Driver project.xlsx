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rya Vast\Desktop\PGD BIO AND COMPUTER SKILLS\EXCEL\"/>
    </mc:Choice>
  </mc:AlternateContent>
  <xr:revisionPtr revIDLastSave="0" documentId="13_ncr:1_{8C04C576-F3F0-4009-9595-9C0FA4E6BC2D}" xr6:coauthVersionLast="47" xr6:coauthVersionMax="47" xr10:uidLastSave="{00000000-0000-0000-0000-000000000000}"/>
  <bookViews>
    <workbookView xWindow="-108" yWindow="-108" windowWidth="23256" windowHeight="12456" xr2:uid="{43395E74-BE3F-4073-9E85-7892099BA33F}"/>
  </bookViews>
  <sheets>
    <sheet name="Sheet1" sheetId="1" r:id="rId1"/>
  </sheets>
  <definedNames>
    <definedName name="Slicer_Department">#N/A</definedName>
    <definedName name="Slicer_Doctor">#N/A</definedName>
  </definedNames>
  <calcPr calcId="191029"/>
  <pivotCaches>
    <pivotCache cacheId="4"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1" i="1" l="1"/>
  <c r="B20" i="1"/>
  <c r="B19" i="1"/>
  <c r="B17" i="1"/>
  <c r="B16" i="1"/>
  <c r="B15" i="1"/>
  <c r="J13" i="1"/>
  <c r="I13" i="1"/>
  <c r="E5" i="1"/>
  <c r="E6" i="1"/>
  <c r="E7" i="1"/>
  <c r="E8" i="1"/>
  <c r="E9" i="1"/>
  <c r="E10" i="1"/>
  <c r="E11" i="1"/>
  <c r="E12" i="1"/>
  <c r="E4" i="1"/>
  <c r="E3" i="1"/>
  <c r="I3" i="1"/>
  <c r="J3" i="1" s="1"/>
  <c r="I4" i="1"/>
  <c r="I5" i="1"/>
  <c r="J5" i="1" s="1"/>
  <c r="I6" i="1"/>
  <c r="J6" i="1" s="1"/>
  <c r="I7" i="1"/>
  <c r="J7" i="1" s="1"/>
  <c r="I8" i="1"/>
  <c r="J8" i="1" s="1"/>
  <c r="I9" i="1"/>
  <c r="J9" i="1" s="1"/>
  <c r="I10" i="1"/>
  <c r="J10" i="1" s="1"/>
  <c r="I11" i="1"/>
  <c r="J11" i="1" s="1"/>
  <c r="I12" i="1"/>
  <c r="J12" i="1" s="1"/>
  <c r="J4" i="1" l="1"/>
</calcChain>
</file>

<file path=xl/sharedStrings.xml><?xml version="1.0" encoding="utf-8"?>
<sst xmlns="http://schemas.openxmlformats.org/spreadsheetml/2006/main" count="56" uniqueCount="40">
  <si>
    <t>PatientID</t>
  </si>
  <si>
    <t>Department</t>
  </si>
  <si>
    <t>Doctor</t>
  </si>
  <si>
    <t>WaitTime</t>
  </si>
  <si>
    <t>TreatmentCost</t>
  </si>
  <si>
    <t>FixedOverhead</t>
  </si>
  <si>
    <t>Revenue</t>
  </si>
  <si>
    <t>P001</t>
  </si>
  <si>
    <t>ER</t>
  </si>
  <si>
    <t>Dr Rao</t>
  </si>
  <si>
    <t>P002</t>
  </si>
  <si>
    <t>OPD</t>
  </si>
  <si>
    <t>Dr Mehta</t>
  </si>
  <si>
    <t>P003</t>
  </si>
  <si>
    <t>ICU</t>
  </si>
  <si>
    <t>Dr Singh</t>
  </si>
  <si>
    <t>P004</t>
  </si>
  <si>
    <t>P005</t>
  </si>
  <si>
    <t>Dr Patel</t>
  </si>
  <si>
    <t>P006</t>
  </si>
  <si>
    <t>P007</t>
  </si>
  <si>
    <t>Dr Khan</t>
  </si>
  <si>
    <t>P008</t>
  </si>
  <si>
    <t>P009</t>
  </si>
  <si>
    <t>Dr Iyer</t>
  </si>
  <si>
    <t>P010</t>
  </si>
  <si>
    <t xml:space="preserve">HOSPITAL DATASET </t>
  </si>
  <si>
    <t>Total cost</t>
  </si>
  <si>
    <t>Profit</t>
  </si>
  <si>
    <t>WaitTime signal</t>
  </si>
  <si>
    <t>Row Labels</t>
  </si>
  <si>
    <t>Grand Total</t>
  </si>
  <si>
    <t>Average of WaitTime</t>
  </si>
  <si>
    <t>Average of TreatmentCost</t>
  </si>
  <si>
    <t xml:space="preserve">Profit </t>
  </si>
  <si>
    <t>A</t>
  </si>
  <si>
    <t>B</t>
  </si>
  <si>
    <t>New Profit</t>
  </si>
  <si>
    <t>Profit Change</t>
  </si>
  <si>
    <t>Total Cost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</si>
</sst>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xf>
    <xf numFmtId="0" fontId="0" fillId="0" borderId="0" xfId="0" applyNumberFormat="1" applyAlignment="1">
      <alignment vertical="center" wrapText="1"/>
    </xf>
    <xf numFmtId="0" fontId="0" fillId="0" borderId="0" xfId="0" applyAlignment="1">
      <alignment horizontal="left"/>
    </xf>
    <xf numFmtId="0" fontId="0" fillId="0" borderId="0" xfId="0" pivotButton="1"/>
    <xf numFmtId="0" fontId="0" fillId="0" borderId="0" xfId="0" applyNumberFormat="1"/>
  </cellXfs>
  <cellStyles count="1">
    <cellStyle name="Normal" xfId="0" builtinId="0"/>
  </cellStyles>
  <dxfs count="22">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[Cost Driver project.xlsx]Sheet1!PivotTable1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Sheet1!$M$2</c:f>
              <c:strCache>
                <c:ptCount val="1"/>
                <c:pt idx="0">
                  <c:v>Average of WaitTime</c:v>
                </c:pt>
              </c:strCache>
            </c:strRef>
          </c:tx>
          <c:spPr>
            <a:solidFill>
              <a:schemeClr val="accent1"/>
            </a:solidFill>
            <a:ln>
              <a:noFill/>
            </a:ln>
            <a:effectLst/>
          </c:spPr>
          <c:invertIfNegative val="0"/>
          <c:cat>
            <c:strRef>
              <c:f>Sheet1!$L$3:$L$6</c:f>
              <c:strCache>
                <c:ptCount val="3"/>
                <c:pt idx="0">
                  <c:v>ER</c:v>
                </c:pt>
                <c:pt idx="1">
                  <c:v>ICU</c:v>
                </c:pt>
                <c:pt idx="2">
                  <c:v>OPD</c:v>
                </c:pt>
              </c:strCache>
            </c:strRef>
          </c:cat>
          <c:val>
            <c:numRef>
              <c:f>Sheet1!$M$3:$M$6</c:f>
              <c:numCache>
                <c:formatCode>General</c:formatCode>
                <c:ptCount val="3"/>
                <c:pt idx="0">
                  <c:v>51.25</c:v>
                </c:pt>
                <c:pt idx="1">
                  <c:v>91.666666666666671</c:v>
                </c:pt>
                <c:pt idx="2">
                  <c:v>26.666666666666668</c:v>
                </c:pt>
              </c:numCache>
            </c:numRef>
          </c:val>
          <c:extLst>
            <c:ext xmlns:c16="http://schemas.microsoft.com/office/drawing/2014/chart" uri="{C3380CC4-5D6E-409C-BE32-E72D297353CC}">
              <c16:uniqueId val="{00000000-D172-4A27-A726-8FBB2F47B7DB}"/>
            </c:ext>
          </c:extLst>
        </c:ser>
        <c:ser>
          <c:idx val="1"/>
          <c:order val="1"/>
          <c:tx>
            <c:strRef>
              <c:f>Sheet1!$N$2</c:f>
              <c:strCache>
                <c:ptCount val="1"/>
                <c:pt idx="0">
                  <c:v>Average of TreatmentCost</c:v>
                </c:pt>
              </c:strCache>
            </c:strRef>
          </c:tx>
          <c:spPr>
            <a:solidFill>
              <a:schemeClr val="accent2"/>
            </a:solidFill>
            <a:ln>
              <a:noFill/>
            </a:ln>
            <a:effectLst/>
          </c:spPr>
          <c:invertIfNegative val="0"/>
          <c:cat>
            <c:strRef>
              <c:f>Sheet1!$L$3:$L$6</c:f>
              <c:strCache>
                <c:ptCount val="3"/>
                <c:pt idx="0">
                  <c:v>ER</c:v>
                </c:pt>
                <c:pt idx="1">
                  <c:v>ICU</c:v>
                </c:pt>
                <c:pt idx="2">
                  <c:v>OPD</c:v>
                </c:pt>
              </c:strCache>
            </c:strRef>
          </c:cat>
          <c:val>
            <c:numRef>
              <c:f>Sheet1!$N$3:$N$6</c:f>
              <c:numCache>
                <c:formatCode>General</c:formatCode>
                <c:ptCount val="3"/>
                <c:pt idx="0">
                  <c:v>3650</c:v>
                </c:pt>
                <c:pt idx="1">
                  <c:v>10100</c:v>
                </c:pt>
                <c:pt idx="2">
                  <c:v>1866.6666666666667</c:v>
                </c:pt>
              </c:numCache>
            </c:numRef>
          </c:val>
          <c:extLst>
            <c:ext xmlns:c16="http://schemas.microsoft.com/office/drawing/2014/chart" uri="{C3380CC4-5D6E-409C-BE32-E72D297353CC}">
              <c16:uniqueId val="{00000002-D172-4A27-A726-8FBB2F47B7DB}"/>
            </c:ext>
          </c:extLst>
        </c:ser>
        <c:dLbls>
          <c:showLegendKey val="0"/>
          <c:showVal val="0"/>
          <c:showCatName val="0"/>
          <c:showSerName val="0"/>
          <c:showPercent val="0"/>
          <c:showBubbleSize val="0"/>
        </c:dLbls>
        <c:gapWidth val="219"/>
        <c:axId val="927794815"/>
        <c:axId val="927766015"/>
      </c:barChart>
      <c:catAx>
        <c:axId val="927794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66015"/>
        <c:crosses val="autoZero"/>
        <c:auto val="1"/>
        <c:lblAlgn val="ctr"/>
        <c:lblOffset val="100"/>
        <c:noMultiLvlLbl val="0"/>
      </c:catAx>
      <c:valAx>
        <c:axId val="9277660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9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555811</xdr:colOff>
      <xdr:row>7</xdr:row>
      <xdr:rowOff>8965</xdr:rowOff>
    </xdr:from>
    <xdr:to>
      <xdr:col>13</xdr:col>
      <xdr:colOff>1685365</xdr:colOff>
      <xdr:row>17</xdr:row>
      <xdr:rowOff>170330</xdr:rowOff>
    </xdr:to>
    <xdr:graphicFrame macro="">
      <xdr:nvGraphicFramePr>
        <xdr:cNvPr id="2" name="Chart 1">
          <a:extLst>
            <a:ext uri="{FF2B5EF4-FFF2-40B4-BE49-F238E27FC236}">
              <a16:creationId xmlns:a16="http://schemas.microsoft.com/office/drawing/2014/main" id="{62451086-CBA0-D845-0612-D13070467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163157</xdr:colOff>
      <xdr:row>0</xdr:row>
      <xdr:rowOff>171675</xdr:rowOff>
    </xdr:from>
    <xdr:to>
      <xdr:col>17</xdr:col>
      <xdr:colOff>163157</xdr:colOff>
      <xdr:row>6</xdr:row>
      <xdr:rowOff>8965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528E1B2F-B364-D9E9-0F9E-F82D80D82EE0}"/>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3915016" y="171675"/>
              <a:ext cx="1828800" cy="1101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159123</xdr:colOff>
      <xdr:row>6</xdr:row>
      <xdr:rowOff>176604</xdr:rowOff>
    </xdr:from>
    <xdr:to>
      <xdr:col>17</xdr:col>
      <xdr:colOff>159123</xdr:colOff>
      <xdr:row>17</xdr:row>
      <xdr:rowOff>107576</xdr:rowOff>
    </xdr:to>
    <mc:AlternateContent xmlns:mc="http://schemas.openxmlformats.org/markup-compatibility/2006">
      <mc:Choice xmlns:a14="http://schemas.microsoft.com/office/drawing/2010/main" Requires="a14">
        <xdr:graphicFrame macro="">
          <xdr:nvGraphicFramePr>
            <xdr:cNvPr id="4" name="Doctor">
              <a:extLst>
                <a:ext uri="{FF2B5EF4-FFF2-40B4-BE49-F238E27FC236}">
                  <a16:creationId xmlns:a16="http://schemas.microsoft.com/office/drawing/2014/main" id="{14314E70-9046-793A-3873-625AE41F3E3E}"/>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13910982" y="1440628"/>
              <a:ext cx="1828800" cy="1903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 Vast" refreshedDate="46051.795693865737" createdVersion="8" refreshedVersion="8" minRefreshableVersion="3" recordCount="10" xr:uid="{BF431C99-25CA-4DBD-BD37-4C0878FF48FB}">
  <cacheSource type="worksheet">
    <worksheetSource name="Table1"/>
  </cacheSource>
  <cacheFields count="10">
    <cacheField name="PatientID" numFmtId="0">
      <sharedItems/>
    </cacheField>
    <cacheField name="Department" numFmtId="0">
      <sharedItems count="3">
        <s v="ER"/>
        <s v="OPD"/>
        <s v="ICU"/>
      </sharedItems>
    </cacheField>
    <cacheField name="Doctor" numFmtId="0">
      <sharedItems count="6">
        <s v="Dr Rao"/>
        <s v="Dr Mehta"/>
        <s v="Dr Singh"/>
        <s v="Dr Patel"/>
        <s v="Dr Khan"/>
        <s v="Dr Iyer"/>
      </sharedItems>
    </cacheField>
    <cacheField name="WaitTime" numFmtId="0">
      <sharedItems containsSemiMixedTypes="0" containsString="0" containsNumber="1" containsInteger="1" minValue="20" maxValue="110"/>
    </cacheField>
    <cacheField name="WaitTime signal" numFmtId="0">
      <sharedItems/>
    </cacheField>
    <cacheField name="TreatmentCost" numFmtId="0">
      <sharedItems containsSemiMixedTypes="0" containsString="0" containsNumber="1" containsInteger="1" minValue="1600" maxValue="12000"/>
    </cacheField>
    <cacheField name="FixedOverhead" numFmtId="0">
      <sharedItems containsSemiMixedTypes="0" containsString="0" containsNumber="1" containsInteger="1" minValue="900" maxValue="4000"/>
    </cacheField>
    <cacheField name="Revenue" numFmtId="0">
      <sharedItems containsSemiMixedTypes="0" containsString="0" containsNumber="1" containsInteger="1" minValue="3200" maxValue="18000"/>
    </cacheField>
    <cacheField name="Total cost" numFmtId="0">
      <sharedItems containsSemiMixedTypes="0" containsString="0" containsNumber="1" containsInteger="1" minValue="2500" maxValue="16000"/>
    </cacheField>
    <cacheField name="Profit" numFmtId="0">
      <sharedItems containsSemiMixedTypes="0" containsString="0" containsNumber="1" containsInteger="1" minValue="700" maxValue="2300"/>
    </cacheField>
  </cacheFields>
  <extLst>
    <ext xmlns:x14="http://schemas.microsoft.com/office/spreadsheetml/2009/9/main" uri="{725AE2AE-9491-48be-B2B4-4EB974FC3084}">
      <x14:pivotCacheDefinition pivotCacheId="1837283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P001"/>
    <x v="0"/>
    <x v="0"/>
    <n v="60"/>
    <s v="Very long"/>
    <n v="4200"/>
    <n v="1500"/>
    <n v="8000"/>
    <n v="5700"/>
    <n v="2300"/>
  </r>
  <r>
    <s v="P002"/>
    <x v="1"/>
    <x v="1"/>
    <n v="25"/>
    <s v="Normal"/>
    <n v="1800"/>
    <n v="900"/>
    <n v="3500"/>
    <n v="2700"/>
    <n v="800"/>
  </r>
  <r>
    <s v="P003"/>
    <x v="2"/>
    <x v="2"/>
    <n v="90"/>
    <s v="Very long"/>
    <n v="9500"/>
    <n v="4000"/>
    <n v="15000"/>
    <n v="13500"/>
    <n v="1500"/>
  </r>
  <r>
    <s v="P004"/>
    <x v="0"/>
    <x v="0"/>
    <n v="50"/>
    <s v="Very long"/>
    <n v="3800"/>
    <n v="1500"/>
    <n v="7500"/>
    <n v="5300"/>
    <n v="2200"/>
  </r>
  <r>
    <s v="P005"/>
    <x v="1"/>
    <x v="3"/>
    <n v="35"/>
    <s v="Long"/>
    <n v="2200"/>
    <n v="900"/>
    <n v="4000"/>
    <n v="3100"/>
    <n v="900"/>
  </r>
  <r>
    <s v="P006"/>
    <x v="2"/>
    <x v="2"/>
    <n v="75"/>
    <s v="Very long"/>
    <n v="8800"/>
    <n v="4000"/>
    <n v="14000"/>
    <n v="12800"/>
    <n v="1200"/>
  </r>
  <r>
    <s v="P007"/>
    <x v="0"/>
    <x v="4"/>
    <n v="40"/>
    <s v="Long"/>
    <n v="3000"/>
    <n v="1500"/>
    <n v="6000"/>
    <n v="4500"/>
    <n v="1500"/>
  </r>
  <r>
    <s v="P008"/>
    <x v="1"/>
    <x v="1"/>
    <n v="20"/>
    <s v="Normal"/>
    <n v="1600"/>
    <n v="900"/>
    <n v="3200"/>
    <n v="2500"/>
    <n v="700"/>
  </r>
  <r>
    <s v="P009"/>
    <x v="2"/>
    <x v="5"/>
    <n v="110"/>
    <s v="Very long"/>
    <n v="12000"/>
    <n v="4000"/>
    <n v="18000"/>
    <n v="16000"/>
    <n v="2000"/>
  </r>
  <r>
    <s v="P010"/>
    <x v="0"/>
    <x v="4"/>
    <n v="55"/>
    <s v="Very long"/>
    <n v="3600"/>
    <n v="1500"/>
    <n v="7000"/>
    <n v="5100"/>
    <n v="1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CFA766-DF99-46FE-BEA6-8284224B32C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2:N6" firstHeaderRow="0" firstDataRow="1" firstDataCol="1"/>
  <pivotFields count="10">
    <pivotField showAll="0"/>
    <pivotField axis="axisRow" showAll="0">
      <items count="4">
        <item x="0"/>
        <item x="2"/>
        <item x="1"/>
        <item t="default"/>
      </items>
    </pivotField>
    <pivotField showAll="0">
      <items count="7">
        <item x="5"/>
        <item x="4"/>
        <item x="1"/>
        <item x="3"/>
        <item x="0"/>
        <item x="2"/>
        <item t="default"/>
      </items>
    </pivotField>
    <pivotField dataField="1" showAll="0"/>
    <pivotField showAll="0"/>
    <pivotField dataField="1" showAll="0"/>
    <pivotField showAll="0"/>
    <pivotField showAll="0"/>
    <pivotField showAll="0"/>
    <pivotField showAll="0"/>
  </pivotFields>
  <rowFields count="1">
    <field x="1"/>
  </rowFields>
  <rowItems count="4">
    <i>
      <x/>
    </i>
    <i>
      <x v="1"/>
    </i>
    <i>
      <x v="2"/>
    </i>
    <i t="grand">
      <x/>
    </i>
  </rowItems>
  <colFields count="1">
    <field x="-2"/>
  </colFields>
  <colItems count="2">
    <i>
      <x/>
    </i>
    <i i="1">
      <x v="1"/>
    </i>
  </colItems>
  <dataFields count="2">
    <dataField name="Average of WaitTime" fld="3" subtotal="average" baseField="1" baseItem="0"/>
    <dataField name="Average of TreatmentCost" fld="5" subtotal="average" baseField="1"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FE3F443-7246-4B2C-8FC1-507D18261D48}" sourceName="Department">
  <pivotTables>
    <pivotTable tabId="1" name="PivotTable1"/>
  </pivotTables>
  <data>
    <tabular pivotCacheId="183728332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 xr10:uid="{7D8A6059-D713-4AAE-BF99-D98CD51E3AB2}" sourceName="Doctor">
  <pivotTables>
    <pivotTable tabId="1" name="PivotTable1"/>
  </pivotTables>
  <data>
    <tabular pivotCacheId="1837283327">
      <items count="6">
        <i x="5" s="1"/>
        <i x="4" s="1"/>
        <i x="1" s="1"/>
        <i x="3"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9757AA75-4E5A-4AA1-A77F-F3F7C04139E6}" cache="Slicer_Department" caption="Department" rowHeight="234950"/>
  <slicer name="Doctor" xr10:uid="{52186B9F-5F7B-438E-89C1-ED266CC85A19}" cache="Slicer_Doctor" caption="Docto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283B5F-A86E-459B-863F-F57F22CA5E0E}" name="Table1" displayName="Table1" ref="A2:J13" totalsRowCount="1" headerRowDxfId="20" dataDxfId="21">
  <autoFilter ref="A2:J12" xr:uid="{D5283B5F-A86E-459B-863F-F57F22CA5E0E}"/>
  <tableColumns count="10">
    <tableColumn id="1" xr3:uid="{66487A62-9C22-4ACA-8154-55C7C90D44AA}" name="PatientID" dataDxfId="19" totalsRowDxfId="9"/>
    <tableColumn id="2" xr3:uid="{8624D26A-D974-4A38-88A5-9CE426E12148}" name="Department" dataDxfId="18" totalsRowDxfId="8"/>
    <tableColumn id="3" xr3:uid="{A3FE2660-CB10-4AC2-B68F-60C515B818E4}" name="Doctor" dataDxfId="17" totalsRowDxfId="7"/>
    <tableColumn id="4" xr3:uid="{6CDBB2F7-69C5-4884-BEAE-F7807EB4CE3A}" name="WaitTime" dataDxfId="16" totalsRowDxfId="6"/>
    <tableColumn id="11" xr3:uid="{C8D124DB-E8B8-454C-859D-43FAA4B27653}" name="WaitTime signal" dataDxfId="10" totalsRowDxfId="5">
      <calculatedColumnFormula>IF(Table1[[#This Row],[WaitTime]]&gt;=45,"Very long",IF(Table1[[#This Row],[WaitTime]]&gt;=30,"Long","Normal"))</calculatedColumnFormula>
    </tableColumn>
    <tableColumn id="5" xr3:uid="{30F1398E-E202-4EA3-87A2-DC029AE756A6}" name="TreatmentCost" dataDxfId="15" totalsRowDxfId="4"/>
    <tableColumn id="6" xr3:uid="{C87CA7B0-CC82-4DF9-8C96-A4234293C547}" name="FixedOverhead" dataDxfId="14" totalsRowDxfId="3"/>
    <tableColumn id="7" xr3:uid="{6F2736E7-CF8D-4FED-A2AB-87574D6F77B3}" name="Revenue" dataDxfId="13" totalsRowDxfId="2"/>
    <tableColumn id="8" xr3:uid="{6B8DEA9A-D95E-406C-B36F-773C346BEF52}" name="Total cost" totalsRowFunction="custom" dataDxfId="12" totalsRowDxfId="1">
      <calculatedColumnFormula>Table1[[#This Row],[TreatmentCost]]+Table1[[#This Row],[FixedOverhead]]</calculatedColumnFormula>
      <totalsRowFormula>SUM(Table1[Total cost])</totalsRowFormula>
    </tableColumn>
    <tableColumn id="9" xr3:uid="{8C87E9A1-B9A4-441A-90EA-48C15E893687}" name="Profit" totalsRowFunction="custom" dataDxfId="11" totalsRowDxfId="0">
      <calculatedColumnFormula>Table1[[#This Row],[Revenue]]-Table1[[#This Row],[Total cost]]</calculatedColumnFormula>
      <totalsRowFormula>SUM(Table1[Profit])</totalsRow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BC344-C8CC-44CB-AB0A-9B7E26444433}">
  <dimension ref="A1:N21"/>
  <sheetViews>
    <sheetView tabSelected="1" zoomScale="85" zoomScaleNormal="85" workbookViewId="0">
      <selection activeCell="G19" sqref="G19"/>
    </sheetView>
  </sheetViews>
  <sheetFormatPr defaultRowHeight="14.4" x14ac:dyDescent="0.3"/>
  <cols>
    <col min="1" max="1" width="13.44140625" bestFit="1" customWidth="1"/>
    <col min="2" max="2" width="20" bestFit="1" customWidth="1"/>
    <col min="3" max="3" width="24.6640625" bestFit="1" customWidth="1"/>
    <col min="4" max="5" width="10.5546875" customWidth="1"/>
    <col min="6" max="6" width="15" customWidth="1"/>
    <col min="7" max="7" width="15.109375" customWidth="1"/>
    <col min="8" max="8" width="9.6640625" customWidth="1"/>
    <col min="9" max="9" width="9.6640625" bestFit="1" customWidth="1"/>
    <col min="12" max="12" width="9.109375" customWidth="1"/>
    <col min="13" max="13" width="20" bestFit="1" customWidth="1"/>
    <col min="14" max="14" width="24.6640625" bestFit="1" customWidth="1"/>
  </cols>
  <sheetData>
    <row r="1" spans="1:14" x14ac:dyDescent="0.3">
      <c r="A1" s="3" t="s">
        <v>26</v>
      </c>
      <c r="B1" s="3"/>
      <c r="C1" s="3"/>
      <c r="D1" s="3"/>
      <c r="E1" s="3"/>
      <c r="F1" s="3"/>
      <c r="G1" s="3"/>
      <c r="H1" s="3"/>
    </row>
    <row r="2" spans="1:14" ht="28.8" x14ac:dyDescent="0.3">
      <c r="A2" s="1" t="s">
        <v>0</v>
      </c>
      <c r="B2" s="1" t="s">
        <v>1</v>
      </c>
      <c r="C2" s="1" t="s">
        <v>2</v>
      </c>
      <c r="D2" s="1" t="s">
        <v>3</v>
      </c>
      <c r="E2" s="1" t="s">
        <v>29</v>
      </c>
      <c r="F2" s="1" t="s">
        <v>4</v>
      </c>
      <c r="G2" s="1" t="s">
        <v>5</v>
      </c>
      <c r="H2" s="1" t="s">
        <v>6</v>
      </c>
      <c r="I2" s="1" t="s">
        <v>27</v>
      </c>
      <c r="J2" s="1" t="s">
        <v>28</v>
      </c>
      <c r="L2" s="6" t="s">
        <v>30</v>
      </c>
      <c r="M2" t="s">
        <v>32</v>
      </c>
      <c r="N2" t="s">
        <v>33</v>
      </c>
    </row>
    <row r="3" spans="1:14" x14ac:dyDescent="0.3">
      <c r="A3" s="2" t="s">
        <v>7</v>
      </c>
      <c r="B3" s="2" t="s">
        <v>8</v>
      </c>
      <c r="C3" s="2" t="s">
        <v>9</v>
      </c>
      <c r="D3" s="2">
        <v>60</v>
      </c>
      <c r="E3" s="2" t="str">
        <f>IF(Table1[[#This Row],[WaitTime]]&gt;=45,"Very long",IF(Table1[[#This Row],[WaitTime]]&gt;=30,"Long","Normal"))</f>
        <v>Very long</v>
      </c>
      <c r="F3" s="2">
        <v>4200</v>
      </c>
      <c r="G3" s="2">
        <v>1500</v>
      </c>
      <c r="H3" s="2">
        <v>8000</v>
      </c>
      <c r="I3" s="2">
        <f>Table1[[#This Row],[TreatmentCost]]+Table1[[#This Row],[FixedOverhead]]</f>
        <v>5700</v>
      </c>
      <c r="J3" s="2">
        <f>Table1[[#This Row],[Revenue]]-Table1[[#This Row],[Total cost]]</f>
        <v>2300</v>
      </c>
      <c r="L3" s="5" t="s">
        <v>8</v>
      </c>
      <c r="M3" s="7">
        <v>51.25</v>
      </c>
      <c r="N3" s="7">
        <v>3650</v>
      </c>
    </row>
    <row r="4" spans="1:14" x14ac:dyDescent="0.3">
      <c r="A4" s="2" t="s">
        <v>10</v>
      </c>
      <c r="B4" s="2" t="s">
        <v>11</v>
      </c>
      <c r="C4" s="2" t="s">
        <v>12</v>
      </c>
      <c r="D4" s="2">
        <v>25</v>
      </c>
      <c r="E4" s="2" t="str">
        <f>IF(Table1[[#This Row],[WaitTime]]&gt;=45,"Very long",IF(Table1[[#This Row],[WaitTime]]&gt;=30,"Long","Normal"))</f>
        <v>Normal</v>
      </c>
      <c r="F4" s="2">
        <v>1800</v>
      </c>
      <c r="G4" s="2">
        <v>900</v>
      </c>
      <c r="H4" s="2">
        <v>3500</v>
      </c>
      <c r="I4" s="2">
        <f>Table1[[#This Row],[TreatmentCost]]+Table1[[#This Row],[FixedOverhead]]</f>
        <v>2700</v>
      </c>
      <c r="J4" s="2">
        <f>Table1[[#This Row],[Revenue]]-Table1[[#This Row],[Total cost]]</f>
        <v>800</v>
      </c>
      <c r="L4" s="5" t="s">
        <v>14</v>
      </c>
      <c r="M4" s="7">
        <v>91.666666666666671</v>
      </c>
      <c r="N4" s="7">
        <v>10100</v>
      </c>
    </row>
    <row r="5" spans="1:14" x14ac:dyDescent="0.3">
      <c r="A5" s="2" t="s">
        <v>13</v>
      </c>
      <c r="B5" s="2" t="s">
        <v>14</v>
      </c>
      <c r="C5" s="2" t="s">
        <v>15</v>
      </c>
      <c r="D5" s="2">
        <v>90</v>
      </c>
      <c r="E5" s="2" t="str">
        <f>IF(Table1[[#This Row],[WaitTime]]&gt;=45,"Very long",IF(Table1[[#This Row],[WaitTime]]&gt;=30,"Long","Normal"))</f>
        <v>Very long</v>
      </c>
      <c r="F5" s="2">
        <v>9500</v>
      </c>
      <c r="G5" s="2">
        <v>4000</v>
      </c>
      <c r="H5" s="2">
        <v>15000</v>
      </c>
      <c r="I5" s="2">
        <f>Table1[[#This Row],[TreatmentCost]]+Table1[[#This Row],[FixedOverhead]]</f>
        <v>13500</v>
      </c>
      <c r="J5" s="2">
        <f>Table1[[#This Row],[Revenue]]-Table1[[#This Row],[Total cost]]</f>
        <v>1500</v>
      </c>
      <c r="L5" s="5" t="s">
        <v>11</v>
      </c>
      <c r="M5" s="7">
        <v>26.666666666666668</v>
      </c>
      <c r="N5" s="7">
        <v>1866.6666666666667</v>
      </c>
    </row>
    <row r="6" spans="1:14" x14ac:dyDescent="0.3">
      <c r="A6" s="2" t="s">
        <v>16</v>
      </c>
      <c r="B6" s="2" t="s">
        <v>8</v>
      </c>
      <c r="C6" s="2" t="s">
        <v>9</v>
      </c>
      <c r="D6" s="2">
        <v>50</v>
      </c>
      <c r="E6" s="2" t="str">
        <f>IF(Table1[[#This Row],[WaitTime]]&gt;=45,"Very long",IF(Table1[[#This Row],[WaitTime]]&gt;=30,"Long","Normal"))</f>
        <v>Very long</v>
      </c>
      <c r="F6" s="2">
        <v>3800</v>
      </c>
      <c r="G6" s="2">
        <v>1500</v>
      </c>
      <c r="H6" s="2">
        <v>7500</v>
      </c>
      <c r="I6" s="2">
        <f>Table1[[#This Row],[TreatmentCost]]+Table1[[#This Row],[FixedOverhead]]</f>
        <v>5300</v>
      </c>
      <c r="J6" s="2">
        <f>Table1[[#This Row],[Revenue]]-Table1[[#This Row],[Total cost]]</f>
        <v>2200</v>
      </c>
      <c r="L6" s="5" t="s">
        <v>31</v>
      </c>
      <c r="M6" s="7">
        <v>56</v>
      </c>
      <c r="N6" s="7">
        <v>5050</v>
      </c>
    </row>
    <row r="7" spans="1:14" x14ac:dyDescent="0.3">
      <c r="A7" s="2" t="s">
        <v>17</v>
      </c>
      <c r="B7" s="2" t="s">
        <v>11</v>
      </c>
      <c r="C7" s="2" t="s">
        <v>18</v>
      </c>
      <c r="D7" s="2">
        <v>35</v>
      </c>
      <c r="E7" s="2" t="str">
        <f>IF(Table1[[#This Row],[WaitTime]]&gt;=45,"Very long",IF(Table1[[#This Row],[WaitTime]]&gt;=30,"Long","Normal"))</f>
        <v>Long</v>
      </c>
      <c r="F7" s="2">
        <v>2200</v>
      </c>
      <c r="G7" s="2">
        <v>900</v>
      </c>
      <c r="H7" s="2">
        <v>4000</v>
      </c>
      <c r="I7" s="2">
        <f>Table1[[#This Row],[TreatmentCost]]+Table1[[#This Row],[FixedOverhead]]</f>
        <v>3100</v>
      </c>
      <c r="J7" s="2">
        <f>Table1[[#This Row],[Revenue]]-Table1[[#This Row],[Total cost]]</f>
        <v>900</v>
      </c>
    </row>
    <row r="8" spans="1:14" x14ac:dyDescent="0.3">
      <c r="A8" s="2" t="s">
        <v>19</v>
      </c>
      <c r="B8" s="2" t="s">
        <v>14</v>
      </c>
      <c r="C8" s="2" t="s">
        <v>15</v>
      </c>
      <c r="D8" s="2">
        <v>75</v>
      </c>
      <c r="E8" s="2" t="str">
        <f>IF(Table1[[#This Row],[WaitTime]]&gt;=45,"Very long",IF(Table1[[#This Row],[WaitTime]]&gt;=30,"Long","Normal"))</f>
        <v>Very long</v>
      </c>
      <c r="F8" s="2">
        <v>8800</v>
      </c>
      <c r="G8" s="2">
        <v>4000</v>
      </c>
      <c r="H8" s="2">
        <v>14000</v>
      </c>
      <c r="I8" s="2">
        <f>Table1[[#This Row],[TreatmentCost]]+Table1[[#This Row],[FixedOverhead]]</f>
        <v>12800</v>
      </c>
      <c r="J8" s="2">
        <f>Table1[[#This Row],[Revenue]]-Table1[[#This Row],[Total cost]]</f>
        <v>1200</v>
      </c>
    </row>
    <row r="9" spans="1:14" x14ac:dyDescent="0.3">
      <c r="A9" s="2" t="s">
        <v>20</v>
      </c>
      <c r="B9" s="2" t="s">
        <v>8</v>
      </c>
      <c r="C9" s="2" t="s">
        <v>21</v>
      </c>
      <c r="D9" s="2">
        <v>40</v>
      </c>
      <c r="E9" s="2" t="str">
        <f>IF(Table1[[#This Row],[WaitTime]]&gt;=45,"Very long",IF(Table1[[#This Row],[WaitTime]]&gt;=30,"Long","Normal"))</f>
        <v>Long</v>
      </c>
      <c r="F9" s="2">
        <v>3000</v>
      </c>
      <c r="G9" s="2">
        <v>1500</v>
      </c>
      <c r="H9" s="2">
        <v>6000</v>
      </c>
      <c r="I9" s="2">
        <f>Table1[[#This Row],[TreatmentCost]]+Table1[[#This Row],[FixedOverhead]]</f>
        <v>4500</v>
      </c>
      <c r="J9" s="2">
        <f>Table1[[#This Row],[Revenue]]-Table1[[#This Row],[Total cost]]</f>
        <v>1500</v>
      </c>
    </row>
    <row r="10" spans="1:14" x14ac:dyDescent="0.3">
      <c r="A10" s="2" t="s">
        <v>22</v>
      </c>
      <c r="B10" s="2" t="s">
        <v>11</v>
      </c>
      <c r="C10" s="2" t="s">
        <v>12</v>
      </c>
      <c r="D10" s="2">
        <v>20</v>
      </c>
      <c r="E10" s="2" t="str">
        <f>IF(Table1[[#This Row],[WaitTime]]&gt;=45,"Very long",IF(Table1[[#This Row],[WaitTime]]&gt;=30,"Long","Normal"))</f>
        <v>Normal</v>
      </c>
      <c r="F10" s="2">
        <v>1600</v>
      </c>
      <c r="G10" s="2">
        <v>900</v>
      </c>
      <c r="H10" s="2">
        <v>3200</v>
      </c>
      <c r="I10" s="2">
        <f>Table1[[#This Row],[TreatmentCost]]+Table1[[#This Row],[FixedOverhead]]</f>
        <v>2500</v>
      </c>
      <c r="J10" s="2">
        <f>Table1[[#This Row],[Revenue]]-Table1[[#This Row],[Total cost]]</f>
        <v>700</v>
      </c>
    </row>
    <row r="11" spans="1:14" x14ac:dyDescent="0.3">
      <c r="A11" s="2" t="s">
        <v>23</v>
      </c>
      <c r="B11" s="2" t="s">
        <v>14</v>
      </c>
      <c r="C11" s="2" t="s">
        <v>24</v>
      </c>
      <c r="D11" s="2">
        <v>110</v>
      </c>
      <c r="E11" s="2" t="str">
        <f>IF(Table1[[#This Row],[WaitTime]]&gt;=45,"Very long",IF(Table1[[#This Row],[WaitTime]]&gt;=30,"Long","Normal"))</f>
        <v>Very long</v>
      </c>
      <c r="F11" s="2">
        <v>12000</v>
      </c>
      <c r="G11" s="2">
        <v>4000</v>
      </c>
      <c r="H11" s="2">
        <v>18000</v>
      </c>
      <c r="I11" s="2">
        <f>Table1[[#This Row],[TreatmentCost]]+Table1[[#This Row],[FixedOverhead]]</f>
        <v>16000</v>
      </c>
      <c r="J11" s="2">
        <f>Table1[[#This Row],[Revenue]]-Table1[[#This Row],[Total cost]]</f>
        <v>2000</v>
      </c>
    </row>
    <row r="12" spans="1:14" x14ac:dyDescent="0.3">
      <c r="A12" s="2" t="s">
        <v>25</v>
      </c>
      <c r="B12" s="2" t="s">
        <v>8</v>
      </c>
      <c r="C12" s="2" t="s">
        <v>21</v>
      </c>
      <c r="D12" s="2">
        <v>55</v>
      </c>
      <c r="E12" s="2" t="str">
        <f>IF(Table1[[#This Row],[WaitTime]]&gt;=45,"Very long",IF(Table1[[#This Row],[WaitTime]]&gt;=30,"Long","Normal"))</f>
        <v>Very long</v>
      </c>
      <c r="F12" s="2">
        <v>3600</v>
      </c>
      <c r="G12" s="2">
        <v>1500</v>
      </c>
      <c r="H12" s="2">
        <v>7000</v>
      </c>
      <c r="I12" s="2">
        <f>Table1[[#This Row],[TreatmentCost]]+Table1[[#This Row],[FixedOverhead]]</f>
        <v>5100</v>
      </c>
      <c r="J12" s="2">
        <f>Table1[[#This Row],[Revenue]]-Table1[[#This Row],[Total cost]]</f>
        <v>1900</v>
      </c>
    </row>
    <row r="13" spans="1:14" x14ac:dyDescent="0.3">
      <c r="A13" s="2"/>
      <c r="B13" s="2"/>
      <c r="C13" s="2"/>
      <c r="D13" s="2"/>
      <c r="E13" s="2"/>
      <c r="F13" s="2"/>
      <c r="G13" s="2"/>
      <c r="H13" s="2"/>
      <c r="I13" s="4">
        <f>SUM(Table1[Total cost])</f>
        <v>71200</v>
      </c>
      <c r="J13" s="4">
        <f>SUM(Table1[Profit])</f>
        <v>15000</v>
      </c>
    </row>
    <row r="15" spans="1:14" x14ac:dyDescent="0.3">
      <c r="A15" t="s">
        <v>6</v>
      </c>
      <c r="B15">
        <f>Table1[[#Totals],[Total cost]]+Table1[[#Totals],[Profit]]</f>
        <v>86200</v>
      </c>
    </row>
    <row r="16" spans="1:14" x14ac:dyDescent="0.3">
      <c r="A16" t="s">
        <v>27</v>
      </c>
      <c r="B16">
        <f>Table1[[#Totals],[Total cost]]</f>
        <v>71200</v>
      </c>
    </row>
    <row r="17" spans="1:2" x14ac:dyDescent="0.3">
      <c r="A17" t="s">
        <v>34</v>
      </c>
      <c r="B17">
        <f>Table1[[#Totals],[Profit]]</f>
        <v>15000</v>
      </c>
    </row>
    <row r="18" spans="1:2" x14ac:dyDescent="0.3">
      <c r="A18" s="1" t="s">
        <v>35</v>
      </c>
      <c r="B18" s="1" t="s">
        <v>36</v>
      </c>
    </row>
    <row r="19" spans="1:2" x14ac:dyDescent="0.3">
      <c r="A19" s="2" t="s">
        <v>39</v>
      </c>
      <c r="B19" s="2">
        <f>B16*1.05</f>
        <v>74760</v>
      </c>
    </row>
    <row r="20" spans="1:2" x14ac:dyDescent="0.3">
      <c r="A20" s="2" t="s">
        <v>37</v>
      </c>
      <c r="B20" s="2">
        <f>B15-B19</f>
        <v>11440</v>
      </c>
    </row>
    <row r="21" spans="1:2" x14ac:dyDescent="0.3">
      <c r="A21" s="2" t="s">
        <v>38</v>
      </c>
      <c r="B21" s="2">
        <f>B20-B17</f>
        <v>-3560</v>
      </c>
    </row>
  </sheetData>
  <mergeCells count="1">
    <mergeCell ref="A1:H1"/>
  </mergeCells>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Vast</dc:creator>
  <cp:lastModifiedBy>Arya Vast</cp:lastModifiedBy>
  <dcterms:created xsi:type="dcterms:W3CDTF">2026-01-29T12:51:58Z</dcterms:created>
  <dcterms:modified xsi:type="dcterms:W3CDTF">2026-01-29T14:00:17Z</dcterms:modified>
</cp:coreProperties>
</file>