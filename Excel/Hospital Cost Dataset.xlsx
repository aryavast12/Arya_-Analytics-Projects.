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rya Vast\Desktop\PGD BIO AND COMPUTER SKILLS\EXCEL\"/>
    </mc:Choice>
  </mc:AlternateContent>
  <xr:revisionPtr revIDLastSave="0" documentId="13_ncr:1_{94428039-2193-417B-A636-2747D9ED3F43}" xr6:coauthVersionLast="47" xr6:coauthVersionMax="47" xr10:uidLastSave="{00000000-0000-0000-0000-000000000000}"/>
  <bookViews>
    <workbookView xWindow="-108" yWindow="-108" windowWidth="23256" windowHeight="12456" firstSheet="6" activeTab="9" xr2:uid="{6936D2C0-A01A-4DD4-A524-FF2C86134286}"/>
  </bookViews>
  <sheets>
    <sheet name="Sumifs and Countifs " sheetId="1" r:id="rId1"/>
    <sheet name="Nested ifs " sheetId="2" r:id="rId2"/>
    <sheet name="Xlook up " sheetId="3" r:id="rId3"/>
    <sheet name="Pivot Table Data " sheetId="5" r:id="rId4"/>
    <sheet name="Department Cost Analysis" sheetId="6" r:id="rId5"/>
    <sheet name="Emergency vs Planned Spend" sheetId="7" r:id="rId6"/>
    <sheet name="Doctor Cost Drivers" sheetId="8" r:id="rId7"/>
    <sheet name="Department × Admission Type" sheetId="9" r:id="rId8"/>
    <sheet name="DASHBOARD" sheetId="10" r:id="rId9"/>
    <sheet name="what if analysis" sheetId="11" r:id="rId10"/>
  </sheets>
  <definedNames>
    <definedName name="Slicer_Admission_Type">#N/A</definedName>
    <definedName name="Slicer_Department">#N/A</definedName>
    <definedName name="Slicer_Docto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1" i="11" l="1"/>
  <c r="B10" i="11"/>
  <c r="B13" i="11" s="1"/>
  <c r="B12" i="11"/>
  <c r="B15" i="2"/>
  <c r="B16" i="2"/>
  <c r="B14" i="2"/>
  <c r="E2" i="2"/>
  <c r="E3" i="2"/>
  <c r="E4" i="2"/>
  <c r="E5" i="2"/>
  <c r="E6" i="2"/>
  <c r="E7" i="2"/>
  <c r="E8" i="2"/>
  <c r="E9" i="2"/>
  <c r="E10" i="2"/>
  <c r="E11" i="2"/>
  <c r="J21" i="1"/>
  <c r="K15" i="1"/>
  <c r="J24" i="1"/>
  <c r="J18" i="1"/>
  <c r="C18" i="1"/>
  <c r="C24" i="1"/>
  <c r="C21" i="1"/>
  <c r="C15" i="1"/>
  <c r="B14" i="11" l="1"/>
  <c r="B15" i="11" s="1"/>
  <c r="A19" i="11" s="1"/>
</calcChain>
</file>

<file path=xl/sharedStrings.xml><?xml version="1.0" encoding="utf-8"?>
<sst xmlns="http://schemas.openxmlformats.org/spreadsheetml/2006/main" count="260" uniqueCount="129">
  <si>
    <t>Candidate</t>
  </si>
  <si>
    <t>Role</t>
  </si>
  <si>
    <t>Department</t>
  </si>
  <si>
    <t>Experience (yrs)</t>
  </si>
  <si>
    <t>Salary_Expected</t>
  </si>
  <si>
    <t>Status</t>
  </si>
  <si>
    <t>Asha</t>
  </si>
  <si>
    <t>Analyst</t>
  </si>
  <si>
    <t>Finance</t>
  </si>
  <si>
    <t>Interviewed</t>
  </si>
  <si>
    <t>Rohan</t>
  </si>
  <si>
    <t>Selected</t>
  </si>
  <si>
    <t>Neha</t>
  </si>
  <si>
    <t>Manager</t>
  </si>
  <si>
    <t>Arjun</t>
  </si>
  <si>
    <t>Sales</t>
  </si>
  <si>
    <t>Mehul</t>
  </si>
  <si>
    <t>Kavya</t>
  </si>
  <si>
    <t>Rejected</t>
  </si>
  <si>
    <t>Rahul</t>
  </si>
  <si>
    <t>Sneha</t>
  </si>
  <si>
    <t>HR</t>
  </si>
  <si>
    <t>Isha</t>
  </si>
  <si>
    <t>Varun</t>
  </si>
  <si>
    <t>Q1 — Total salary expected for Finance candidates who are Selected</t>
  </si>
  <si>
    <t xml:space="preserve">SUMIFS </t>
  </si>
  <si>
    <t>Q2 — Total salary expected for Analysts in Sales</t>
  </si>
  <si>
    <t>Q3 — Total salary expected for Managers with experience &gt; 8 years</t>
  </si>
  <si>
    <t>Q4 — Total salary exposure for Selected candidates demanding more than ₹60,000</t>
  </si>
  <si>
    <t>COUNTIFS</t>
  </si>
  <si>
    <t>Q5 — How many Finance Analysts were interviewed?</t>
  </si>
  <si>
    <t>Q6 — How many candidates want salary above ₹1 lakh?</t>
  </si>
  <si>
    <t>Q7 — How many Managers were selected?</t>
  </si>
  <si>
    <t>Q8 — How many Sales candidates with experience &gt; 4 years?</t>
  </si>
  <si>
    <t>&gt;8</t>
  </si>
  <si>
    <t>&gt;60000</t>
  </si>
  <si>
    <t>sales</t>
  </si>
  <si>
    <t>&gt;4</t>
  </si>
  <si>
    <t>&gt;100000</t>
  </si>
  <si>
    <t>Patient ID</t>
  </si>
  <si>
    <t>Arrival Time</t>
  </si>
  <si>
    <t>Called Time</t>
  </si>
  <si>
    <t>Waiting Time (mins)</t>
  </si>
  <si>
    <t>Service Rating</t>
  </si>
  <si>
    <t>P001</t>
  </si>
  <si>
    <t>P002</t>
  </si>
  <si>
    <t>P003</t>
  </si>
  <si>
    <t>P004</t>
  </si>
  <si>
    <t>P005</t>
  </si>
  <si>
    <t>P006</t>
  </si>
  <si>
    <t>P007</t>
  </si>
  <si>
    <t>P008</t>
  </si>
  <si>
    <t>P009</t>
  </si>
  <si>
    <t>P010</t>
  </si>
  <si>
    <t xml:space="preserve">Count of Patients of Service Rating </t>
  </si>
  <si>
    <t>Good</t>
  </si>
  <si>
    <t>Average</t>
  </si>
  <si>
    <t>Poor</t>
  </si>
  <si>
    <t>Hospital Cost Dataset</t>
  </si>
  <si>
    <t>Patient_ID</t>
  </si>
  <si>
    <t>Doctor</t>
  </si>
  <si>
    <t>Treatment</t>
  </si>
  <si>
    <t>Admission_Type</t>
  </si>
  <si>
    <t>Days</t>
  </si>
  <si>
    <t>Cost_per_Day</t>
  </si>
  <si>
    <t>Total_Cost</t>
  </si>
  <si>
    <t>Cardiology</t>
  </si>
  <si>
    <t>Dr Shah</t>
  </si>
  <si>
    <t>Angioplasty</t>
  </si>
  <si>
    <t>Emergency</t>
  </si>
  <si>
    <t>Neurology</t>
  </si>
  <si>
    <t>Dr Iyer</t>
  </si>
  <si>
    <t>Stroke Care</t>
  </si>
  <si>
    <t>Orthopedics</t>
  </si>
  <si>
    <t>Dr Mehta</t>
  </si>
  <si>
    <t>Knee Surgery</t>
  </si>
  <si>
    <t>Planned</t>
  </si>
  <si>
    <t>ECG + Observation</t>
  </si>
  <si>
    <t>Oncology</t>
  </si>
  <si>
    <t>Dr Rao</t>
  </si>
  <si>
    <t>Chemotherapy</t>
  </si>
  <si>
    <t>MRI + Observation</t>
  </si>
  <si>
    <t>Fracture</t>
  </si>
  <si>
    <t>Bypass Surgery</t>
  </si>
  <si>
    <t>Radiation</t>
  </si>
  <si>
    <t>Seizure</t>
  </si>
  <si>
    <t>P011</t>
  </si>
  <si>
    <t>Angiography</t>
  </si>
  <si>
    <t>P012</t>
  </si>
  <si>
    <t>Hip Surgery</t>
  </si>
  <si>
    <t>P013</t>
  </si>
  <si>
    <t>Immunotherapy</t>
  </si>
  <si>
    <t>P014</t>
  </si>
  <si>
    <t>EEG</t>
  </si>
  <si>
    <t>P015</t>
  </si>
  <si>
    <t>Heart Failure</t>
  </si>
  <si>
    <t>P016</t>
  </si>
  <si>
    <t>Accident Trauma</t>
  </si>
  <si>
    <t>P017</t>
  </si>
  <si>
    <t>Biopsy</t>
  </si>
  <si>
    <t>P018</t>
  </si>
  <si>
    <t>Brain Surgery</t>
  </si>
  <si>
    <t>P019</t>
  </si>
  <si>
    <t>Stent</t>
  </si>
  <si>
    <t>P020</t>
  </si>
  <si>
    <t>Physiotherapy</t>
  </si>
  <si>
    <t>Department Cost Analysis</t>
  </si>
  <si>
    <t>Sum of Total_Cost</t>
  </si>
  <si>
    <t>Column Labels</t>
  </si>
  <si>
    <t>Grand Total</t>
  </si>
  <si>
    <t>Emergency vs Planned Spend</t>
  </si>
  <si>
    <t>Row Labels</t>
  </si>
  <si>
    <t>Doctor Cost Drivers</t>
  </si>
  <si>
    <t>Department × Admission Type</t>
  </si>
  <si>
    <t>Hospital Department Master Table</t>
  </si>
  <si>
    <t>Monthly Patients</t>
  </si>
  <si>
    <t>Fixed Cost (₹)</t>
  </si>
  <si>
    <t>Variable Cost per Patient (₹)</t>
  </si>
  <si>
    <t>Label</t>
  </si>
  <si>
    <t>Value</t>
  </si>
  <si>
    <t>Patient Volume Multiplier</t>
  </si>
  <si>
    <t>Fixed Cost Multiplier</t>
  </si>
  <si>
    <t>Fixed Cost</t>
  </si>
  <si>
    <t>Variable Cost per Patient</t>
  </si>
  <si>
    <t>Total Variable Cost</t>
  </si>
  <si>
    <t>Total Cost</t>
  </si>
  <si>
    <t>Cost Per Patient</t>
  </si>
  <si>
    <t>Sensitivity Analysis</t>
  </si>
  <si>
    <t>Patients ↓ \ Fixed Cost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</si>
</sst>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11"/>
      <color rgb="FF9C5700"/>
      <name val="Calibri"/>
      <family val="2"/>
      <scheme val="minor"/>
    </font>
    <font>
      <sz val="11"/>
      <color rgb="FF3F3F76"/>
      <name val="Calibri"/>
      <family val="2"/>
      <scheme val="minor"/>
    </font>
    <font>
      <b/>
      <sz val="11"/>
      <color rgb="FF9C5700"/>
      <name val="Calibri"/>
      <family val="2"/>
      <scheme val="minor"/>
    </font>
    <font>
      <b/>
      <sz val="20"/>
      <color rgb="FF3F3F76"/>
      <name val="Calibri"/>
      <family val="2"/>
      <scheme val="minor"/>
    </font>
    <font>
      <sz val="11"/>
      <color theme="1"/>
      <name val="Calibri"/>
      <family val="2"/>
      <scheme val="minor"/>
    </font>
    <font>
      <b/>
      <sz val="11"/>
      <color rgb="FF000000"/>
      <name val="Calibri"/>
      <family val="2"/>
      <scheme val="minor"/>
    </font>
    <font>
      <sz val="11"/>
      <color rgb="FF000000"/>
      <name val="Calibri"/>
      <family val="2"/>
      <scheme val="minor"/>
    </font>
  </fonts>
  <fills count="9">
    <fill>
      <patternFill patternType="none"/>
    </fill>
    <fill>
      <patternFill patternType="gray125"/>
    </fill>
    <fill>
      <patternFill patternType="solid">
        <fgColor theme="4" tint="0.79998168889431442"/>
        <bgColor theme="4" tint="0.79998168889431442"/>
      </patternFill>
    </fill>
    <fill>
      <patternFill patternType="solid">
        <fgColor rgb="FFFFEB9C"/>
      </patternFill>
    </fill>
    <fill>
      <patternFill patternType="solid">
        <fgColor rgb="FFFFCC99"/>
      </patternFill>
    </fill>
    <fill>
      <patternFill patternType="solid">
        <fgColor theme="2"/>
        <bgColor indexed="64"/>
      </patternFill>
    </fill>
    <fill>
      <patternFill patternType="solid">
        <fgColor rgb="FFFFFFCC"/>
      </patternFill>
    </fill>
    <fill>
      <patternFill patternType="solid">
        <fgColor rgb="FFFFFFCC"/>
        <bgColor rgb="FF000000"/>
      </patternFill>
    </fill>
    <fill>
      <patternFill patternType="solid">
        <fgColor theme="0"/>
        <bgColor indexed="64"/>
      </patternFill>
    </fill>
  </fills>
  <borders count="12">
    <border>
      <left/>
      <right/>
      <top/>
      <bottom/>
      <diagonal/>
    </border>
    <border>
      <left style="thin">
        <color theme="4"/>
      </left>
      <right style="thin">
        <color theme="4"/>
      </right>
      <top style="thin">
        <color theme="4"/>
      </top>
      <bottom style="thin">
        <color theme="4"/>
      </bottom>
      <diagonal/>
    </border>
    <border>
      <left style="thin">
        <color rgb="FF7F7F7F"/>
      </left>
      <right style="thin">
        <color rgb="FF7F7F7F"/>
      </right>
      <top style="thin">
        <color rgb="FF7F7F7F"/>
      </top>
      <bottom style="thin">
        <color rgb="FF7F7F7F"/>
      </bottom>
      <diagonal/>
    </border>
    <border>
      <left style="thin">
        <color rgb="FF7F7F7F"/>
      </left>
      <right/>
      <top style="thin">
        <color rgb="FF7F7F7F"/>
      </top>
      <bottom/>
      <diagonal/>
    </border>
    <border>
      <left/>
      <right/>
      <top style="thin">
        <color rgb="FF7F7F7F"/>
      </top>
      <bottom/>
      <diagonal/>
    </border>
    <border>
      <left style="thin">
        <color rgb="FF7F7F7F"/>
      </left>
      <right/>
      <top/>
      <bottom style="thin">
        <color rgb="FF7F7F7F"/>
      </bottom>
      <diagonal/>
    </border>
    <border>
      <left/>
      <right/>
      <top/>
      <bottom style="thin">
        <color rgb="FF7F7F7F"/>
      </bottom>
      <diagonal/>
    </border>
    <border>
      <left style="thin">
        <color rgb="FFB2B2B2"/>
      </left>
      <right style="thin">
        <color rgb="FFB2B2B2"/>
      </right>
      <top style="thin">
        <color rgb="FFB2B2B2"/>
      </top>
      <bottom style="thin">
        <color rgb="FFB2B2B2"/>
      </bottom>
      <diagonal/>
    </border>
    <border>
      <left/>
      <right/>
      <top/>
      <bottom style="thin">
        <color rgb="FFB2B2B2"/>
      </bottom>
      <diagonal/>
    </border>
    <border>
      <left style="thin">
        <color rgb="FFB2B2B2"/>
      </left>
      <right/>
      <top style="thin">
        <color rgb="FFB2B2B2"/>
      </top>
      <bottom style="thin">
        <color rgb="FFB2B2B2"/>
      </bottom>
      <diagonal/>
    </border>
    <border>
      <left/>
      <right/>
      <top style="thin">
        <color rgb="FFB2B2B2"/>
      </top>
      <bottom style="thin">
        <color rgb="FFB2B2B2"/>
      </bottom>
      <diagonal/>
    </border>
    <border>
      <left/>
      <right style="thin">
        <color rgb="FFB2B2B2"/>
      </right>
      <top style="thin">
        <color rgb="FFB2B2B2"/>
      </top>
      <bottom style="thin">
        <color rgb="FFB2B2B2"/>
      </bottom>
      <diagonal/>
    </border>
  </borders>
  <cellStyleXfs count="4">
    <xf numFmtId="0" fontId="0" fillId="0" borderId="0"/>
    <xf numFmtId="0" fontId="4" fillId="3" borderId="0" applyNumberFormat="0" applyBorder="0" applyAlignment="0" applyProtection="0"/>
    <xf numFmtId="0" fontId="5" fillId="4" borderId="2" applyNumberFormat="0" applyAlignment="0" applyProtection="0"/>
    <xf numFmtId="0" fontId="8" fillId="6" borderId="7" applyNumberFormat="0" applyFont="0" applyAlignment="0" applyProtection="0"/>
  </cellStyleXfs>
  <cellXfs count="37">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2" fillId="0" borderId="0" xfId="0" applyFont="1" applyAlignment="1">
      <alignment vertical="center"/>
    </xf>
    <xf numFmtId="0" fontId="2" fillId="0" borderId="0" xfId="0" applyFont="1"/>
    <xf numFmtId="0" fontId="3" fillId="0" borderId="0" xfId="0" applyFont="1"/>
    <xf numFmtId="0" fontId="3"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0" xfId="0" applyAlignment="1">
      <alignment vertical="center" wrapText="1"/>
    </xf>
    <xf numFmtId="20" fontId="0" fillId="0" borderId="0" xfId="0" applyNumberFormat="1" applyAlignment="1">
      <alignment vertical="center" wrapText="1"/>
    </xf>
    <xf numFmtId="0" fontId="0" fillId="0" borderId="0" xfId="0" applyAlignment="1">
      <alignment vertical="center"/>
    </xf>
    <xf numFmtId="0" fontId="0" fillId="0" borderId="0" xfId="0" pivotButton="1"/>
    <xf numFmtId="0" fontId="0" fillId="0" borderId="0" xfId="0" applyAlignment="1">
      <alignment horizontal="left"/>
    </xf>
    <xf numFmtId="0" fontId="0" fillId="5" borderId="0" xfId="0" applyFill="1"/>
    <xf numFmtId="0" fontId="7" fillId="5" borderId="0" xfId="2" applyFont="1" applyFill="1" applyBorder="1" applyAlignment="1">
      <alignment vertical="center"/>
    </xf>
    <xf numFmtId="0" fontId="1" fillId="0" borderId="0" xfId="0" applyFont="1" applyAlignment="1">
      <alignment horizontal="center"/>
    </xf>
    <xf numFmtId="0" fontId="1" fillId="0" borderId="0" xfId="0" applyFont="1" applyAlignment="1">
      <alignment horizontal="center" vertical="center"/>
    </xf>
    <xf numFmtId="0" fontId="6" fillId="3" borderId="0" xfId="1" applyFont="1" applyAlignment="1">
      <alignment horizontal="center"/>
    </xf>
    <xf numFmtId="0" fontId="0" fillId="0" borderId="0" xfId="0" applyAlignment="1">
      <alignment horizontal="center"/>
    </xf>
    <xf numFmtId="0" fontId="7" fillId="4" borderId="3" xfId="2" applyFont="1" applyBorder="1" applyAlignment="1">
      <alignment horizontal="center" vertical="center"/>
    </xf>
    <xf numFmtId="0" fontId="7" fillId="4" borderId="4" xfId="2" applyFont="1" applyBorder="1" applyAlignment="1">
      <alignment horizontal="center" vertical="center"/>
    </xf>
    <xf numFmtId="0" fontId="7" fillId="4" borderId="5" xfId="2" applyFont="1" applyBorder="1" applyAlignment="1">
      <alignment horizontal="center" vertical="center"/>
    </xf>
    <xf numFmtId="0" fontId="7" fillId="4" borderId="6" xfId="2" applyFont="1" applyBorder="1" applyAlignment="1">
      <alignment horizontal="center" vertical="center"/>
    </xf>
    <xf numFmtId="0" fontId="9" fillId="0" borderId="0" xfId="0" applyFont="1" applyAlignment="1">
      <alignment horizontal="center"/>
    </xf>
    <xf numFmtId="0" fontId="10" fillId="7" borderId="7" xfId="0" applyFont="1" applyFill="1" applyBorder="1"/>
    <xf numFmtId="0" fontId="10" fillId="0" borderId="0" xfId="0" applyFont="1"/>
    <xf numFmtId="3" fontId="10" fillId="0" borderId="0" xfId="0" applyNumberFormat="1" applyFont="1"/>
    <xf numFmtId="0" fontId="10" fillId="0" borderId="0" xfId="0" applyFont="1" applyAlignment="1">
      <alignment horizontal="center"/>
    </xf>
    <xf numFmtId="0" fontId="10" fillId="0" borderId="0" xfId="0" applyFont="1" applyAlignment="1">
      <alignment horizontal="center" wrapText="1"/>
    </xf>
    <xf numFmtId="0" fontId="9" fillId="0" borderId="8" xfId="0" applyFont="1" applyBorder="1" applyAlignment="1">
      <alignment horizontal="center"/>
    </xf>
    <xf numFmtId="0" fontId="0" fillId="8" borderId="7" xfId="3" applyFont="1" applyFill="1"/>
    <xf numFmtId="0" fontId="9" fillId="6" borderId="9" xfId="3" applyFont="1" applyBorder="1" applyAlignment="1">
      <alignment horizontal="center"/>
    </xf>
    <xf numFmtId="0" fontId="9" fillId="6" borderId="10" xfId="3" applyFont="1" applyBorder="1" applyAlignment="1">
      <alignment horizontal="center"/>
    </xf>
    <xf numFmtId="0" fontId="9" fillId="6" borderId="11" xfId="3" applyFont="1" applyBorder="1" applyAlignment="1">
      <alignment horizontal="center"/>
    </xf>
  </cellXfs>
  <cellStyles count="4">
    <cellStyle name="Input" xfId="2" builtinId="20"/>
    <cellStyle name="Neutral" xfId="1" builtinId="28"/>
    <cellStyle name="Normal" xfId="0" builtinId="0"/>
    <cellStyle name="Note" xfId="3" builtinId="10"/>
  </cellStyles>
  <dxfs count="25">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numFmt numFmtId="25" formatCode="hh:mm"/>
      <alignment horizontal="general" vertical="center" textRotation="0" wrapText="1" indent="0" justifyLastLine="0" shrinkToFit="0" readingOrder="0"/>
    </dxf>
    <dxf>
      <numFmt numFmtId="25" formatCode="hh:mm"/>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Portfolio.xlsx]Department Cost Analysis!PivotTable1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Cost Analysis'!$B$2</c:f>
              <c:strCache>
                <c:ptCount val="1"/>
                <c:pt idx="0">
                  <c:v>Total</c:v>
                </c:pt>
              </c:strCache>
            </c:strRef>
          </c:tx>
          <c:spPr>
            <a:solidFill>
              <a:schemeClr val="accent1"/>
            </a:solidFill>
            <a:ln>
              <a:noFill/>
            </a:ln>
            <a:effectLst/>
          </c:spPr>
          <c:invertIfNegative val="0"/>
          <c:cat>
            <c:strRef>
              <c:f>'Department Cost Analysis'!$A$3:$A$7</c:f>
              <c:strCache>
                <c:ptCount val="4"/>
                <c:pt idx="0">
                  <c:v>Cardiology</c:v>
                </c:pt>
                <c:pt idx="1">
                  <c:v>Neurology</c:v>
                </c:pt>
                <c:pt idx="2">
                  <c:v>Oncology</c:v>
                </c:pt>
                <c:pt idx="3">
                  <c:v>Orthopedics</c:v>
                </c:pt>
              </c:strCache>
            </c:strRef>
          </c:cat>
          <c:val>
            <c:numRef>
              <c:f>'Department Cost Analysis'!$B$3:$B$7</c:f>
              <c:numCache>
                <c:formatCode>General</c:formatCode>
                <c:ptCount val="4"/>
                <c:pt idx="0">
                  <c:v>331000</c:v>
                </c:pt>
                <c:pt idx="1">
                  <c:v>326500</c:v>
                </c:pt>
                <c:pt idx="2">
                  <c:v>341000</c:v>
                </c:pt>
                <c:pt idx="3">
                  <c:v>224400</c:v>
                </c:pt>
              </c:numCache>
            </c:numRef>
          </c:val>
          <c:extLst>
            <c:ext xmlns:c16="http://schemas.microsoft.com/office/drawing/2014/chart" uri="{C3380CC4-5D6E-409C-BE32-E72D297353CC}">
              <c16:uniqueId val="{00000000-D669-4102-945C-2CBC18143916}"/>
            </c:ext>
          </c:extLst>
        </c:ser>
        <c:dLbls>
          <c:showLegendKey val="0"/>
          <c:showVal val="0"/>
          <c:showCatName val="0"/>
          <c:showSerName val="0"/>
          <c:showPercent val="0"/>
          <c:showBubbleSize val="0"/>
        </c:dLbls>
        <c:gapWidth val="267"/>
        <c:overlap val="-43"/>
        <c:axId val="234751343"/>
        <c:axId val="234766223"/>
      </c:barChart>
      <c:catAx>
        <c:axId val="23475134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34766223"/>
        <c:crosses val="autoZero"/>
        <c:auto val="1"/>
        <c:lblAlgn val="ctr"/>
        <c:lblOffset val="100"/>
        <c:noMultiLvlLbl val="0"/>
      </c:catAx>
      <c:valAx>
        <c:axId val="234766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34751343"/>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Portfolio.xlsx]Emergency vs Planned Spend!PivotTable2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s>
    <c:plotArea>
      <c:layout/>
      <c:doughnutChart>
        <c:varyColors val="1"/>
        <c:ser>
          <c:idx val="0"/>
          <c:order val="0"/>
          <c:tx>
            <c:strRef>
              <c:f>'Emergency vs Planned Spend'!$B$3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4EE4-4ECC-A31E-6C0D973CD05D}"/>
              </c:ext>
            </c:extLst>
          </c:dPt>
          <c:dPt>
            <c:idx val="1"/>
            <c:bubble3D val="0"/>
            <c:spPr>
              <a:solidFill>
                <a:schemeClr val="accent2"/>
              </a:solidFill>
              <a:ln>
                <a:noFill/>
              </a:ln>
              <a:effectLst/>
            </c:spPr>
            <c:extLst>
              <c:ext xmlns:c16="http://schemas.microsoft.com/office/drawing/2014/chart" uri="{C3380CC4-5D6E-409C-BE32-E72D297353CC}">
                <c16:uniqueId val="{00000003-4EE4-4ECC-A31E-6C0D973CD05D}"/>
              </c:ext>
            </c:extLst>
          </c:dPt>
          <c:cat>
            <c:strRef>
              <c:f>'Emergency vs Planned Spend'!$A$4:$A$6</c:f>
              <c:strCache>
                <c:ptCount val="2"/>
                <c:pt idx="0">
                  <c:v>Emergency</c:v>
                </c:pt>
                <c:pt idx="1">
                  <c:v>Planned</c:v>
                </c:pt>
              </c:strCache>
            </c:strRef>
          </c:cat>
          <c:val>
            <c:numRef>
              <c:f>'Emergency vs Planned Spend'!$B$4:$B$6</c:f>
              <c:numCache>
                <c:formatCode>General</c:formatCode>
                <c:ptCount val="2"/>
                <c:pt idx="0">
                  <c:v>360000</c:v>
                </c:pt>
                <c:pt idx="1">
                  <c:v>862900</c:v>
                </c:pt>
              </c:numCache>
            </c:numRef>
          </c:val>
          <c:extLst>
            <c:ext xmlns:c16="http://schemas.microsoft.com/office/drawing/2014/chart" uri="{C3380CC4-5D6E-409C-BE32-E72D297353CC}">
              <c16:uniqueId val="{00000000-B8EB-46A3-B1DD-FD52726B2D1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Portfolio.xlsx]Doctor Cost Drivers!PivotTable3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'Doctor Cost Drivers'!$B$2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'Doctor Cost Drivers'!$A$3:$A$7</c:f>
              <c:strCache>
                <c:ptCount val="4"/>
                <c:pt idx="0">
                  <c:v>Dr Iyer</c:v>
                </c:pt>
                <c:pt idx="1">
                  <c:v>Dr Mehta</c:v>
                </c:pt>
                <c:pt idx="2">
                  <c:v>Dr Rao</c:v>
                </c:pt>
                <c:pt idx="3">
                  <c:v>Dr Shah</c:v>
                </c:pt>
              </c:strCache>
            </c:strRef>
          </c:cat>
          <c:val>
            <c:numRef>
              <c:f>'Doctor Cost Drivers'!$B$3:$B$7</c:f>
              <c:numCache>
                <c:formatCode>General</c:formatCode>
                <c:ptCount val="4"/>
                <c:pt idx="0">
                  <c:v>326500</c:v>
                </c:pt>
                <c:pt idx="1">
                  <c:v>224400</c:v>
                </c:pt>
                <c:pt idx="2">
                  <c:v>341000</c:v>
                </c:pt>
                <c:pt idx="3">
                  <c:v>331000</c:v>
                </c:pt>
              </c:numCache>
            </c:numRef>
          </c:val>
          <c:extLst>
            <c:ext xmlns:c16="http://schemas.microsoft.com/office/drawing/2014/chart" uri="{C3380CC4-5D6E-409C-BE32-E72D297353CC}">
              <c16:uniqueId val="{00000000-413D-4516-8C1D-60B71A41C699}"/>
            </c:ext>
          </c:extLst>
        </c:ser>
        <c:dLbls>
          <c:showLegendKey val="0"/>
          <c:showVal val="0"/>
          <c:showCatName val="0"/>
          <c:showSerName val="0"/>
          <c:showPercent val="0"/>
          <c:showBubbleSize val="0"/>
        </c:dLbls>
        <c:gapWidth val="150"/>
        <c:overlap val="100"/>
        <c:axId val="377170271"/>
        <c:axId val="377190911"/>
      </c:barChart>
      <c:catAx>
        <c:axId val="37717027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190911"/>
        <c:crosses val="autoZero"/>
        <c:auto val="1"/>
        <c:lblAlgn val="ctr"/>
        <c:lblOffset val="100"/>
        <c:noMultiLvlLbl val="0"/>
      </c:catAx>
      <c:valAx>
        <c:axId val="377190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17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Portfolio.xlsx]Department × Admission Type!PivotTable4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 Admission Type'!$B$3:$B$4</c:f>
              <c:strCache>
                <c:ptCount val="1"/>
                <c:pt idx="0">
                  <c:v>Emergency</c:v>
                </c:pt>
              </c:strCache>
            </c:strRef>
          </c:tx>
          <c:spPr>
            <a:solidFill>
              <a:schemeClr val="accent1"/>
            </a:solidFill>
            <a:ln>
              <a:noFill/>
            </a:ln>
            <a:effectLst/>
          </c:spPr>
          <c:invertIfNegative val="0"/>
          <c:cat>
            <c:strRef>
              <c:f>'Department × Admission Type'!$A$5:$A$9</c:f>
              <c:strCache>
                <c:ptCount val="4"/>
                <c:pt idx="0">
                  <c:v>Cardiology</c:v>
                </c:pt>
                <c:pt idx="1">
                  <c:v>Neurology</c:v>
                </c:pt>
                <c:pt idx="2">
                  <c:v>Oncology</c:v>
                </c:pt>
                <c:pt idx="3">
                  <c:v>Orthopedics</c:v>
                </c:pt>
              </c:strCache>
            </c:strRef>
          </c:cat>
          <c:val>
            <c:numRef>
              <c:f>'Department × Admission Type'!$B$5:$B$9</c:f>
              <c:numCache>
                <c:formatCode>General</c:formatCode>
                <c:ptCount val="4"/>
                <c:pt idx="0">
                  <c:v>135000</c:v>
                </c:pt>
                <c:pt idx="1">
                  <c:v>137000</c:v>
                </c:pt>
                <c:pt idx="3">
                  <c:v>88000</c:v>
                </c:pt>
              </c:numCache>
            </c:numRef>
          </c:val>
          <c:extLst>
            <c:ext xmlns:c16="http://schemas.microsoft.com/office/drawing/2014/chart" uri="{C3380CC4-5D6E-409C-BE32-E72D297353CC}">
              <c16:uniqueId val="{00000000-1E58-4634-B79B-68E713A797A0}"/>
            </c:ext>
          </c:extLst>
        </c:ser>
        <c:ser>
          <c:idx val="1"/>
          <c:order val="1"/>
          <c:tx>
            <c:strRef>
              <c:f>'Department × Admission Type'!$C$3:$C$4</c:f>
              <c:strCache>
                <c:ptCount val="1"/>
                <c:pt idx="0">
                  <c:v>Planned</c:v>
                </c:pt>
              </c:strCache>
            </c:strRef>
          </c:tx>
          <c:spPr>
            <a:solidFill>
              <a:schemeClr val="accent2"/>
            </a:solidFill>
            <a:ln>
              <a:noFill/>
            </a:ln>
            <a:effectLst/>
          </c:spPr>
          <c:invertIfNegative val="0"/>
          <c:cat>
            <c:strRef>
              <c:f>'Department × Admission Type'!$A$5:$A$9</c:f>
              <c:strCache>
                <c:ptCount val="4"/>
                <c:pt idx="0">
                  <c:v>Cardiology</c:v>
                </c:pt>
                <c:pt idx="1">
                  <c:v>Neurology</c:v>
                </c:pt>
                <c:pt idx="2">
                  <c:v>Oncology</c:v>
                </c:pt>
                <c:pt idx="3">
                  <c:v>Orthopedics</c:v>
                </c:pt>
              </c:strCache>
            </c:strRef>
          </c:cat>
          <c:val>
            <c:numRef>
              <c:f>'Department × Admission Type'!$C$5:$C$9</c:f>
              <c:numCache>
                <c:formatCode>General</c:formatCode>
                <c:ptCount val="4"/>
                <c:pt idx="0">
                  <c:v>196000</c:v>
                </c:pt>
                <c:pt idx="1">
                  <c:v>189500</c:v>
                </c:pt>
                <c:pt idx="2">
                  <c:v>341000</c:v>
                </c:pt>
                <c:pt idx="3">
                  <c:v>136400</c:v>
                </c:pt>
              </c:numCache>
            </c:numRef>
          </c:val>
          <c:extLst>
            <c:ext xmlns:c16="http://schemas.microsoft.com/office/drawing/2014/chart" uri="{C3380CC4-5D6E-409C-BE32-E72D297353CC}">
              <c16:uniqueId val="{00000002-1E58-4634-B79B-68E713A797A0}"/>
            </c:ext>
          </c:extLst>
        </c:ser>
        <c:dLbls>
          <c:showLegendKey val="0"/>
          <c:showVal val="0"/>
          <c:showCatName val="0"/>
          <c:showSerName val="0"/>
          <c:showPercent val="0"/>
          <c:showBubbleSize val="0"/>
        </c:dLbls>
        <c:gapWidth val="219"/>
        <c:axId val="481640911"/>
        <c:axId val="481652431"/>
      </c:barChart>
      <c:catAx>
        <c:axId val="48164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652431"/>
        <c:crosses val="autoZero"/>
        <c:auto val="1"/>
        <c:lblAlgn val="ctr"/>
        <c:lblOffset val="100"/>
        <c:noMultiLvlLbl val="0"/>
      </c:catAx>
      <c:valAx>
        <c:axId val="481652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640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Portfolio.xlsx]Department Cost Analysis!PivotTable1</c:name>
    <c:fmtId val="3"/>
  </c:pivotSource>
  <c:chart>
    <c:title>
      <c:tx>
        <c:rich>
          <a:bodyPr rot="0" spcFirstLastPara="1" vertOverflow="ellipsis" vert="horz" wrap="square" anchor="ctr" anchorCtr="1"/>
          <a:lstStyle/>
          <a:p>
            <a:pPr>
              <a:defRPr sz="1200" b="1" i="0" u="none" strike="noStrike" kern="1200" cap="none" spc="0" normalizeH="0" baseline="0">
                <a:solidFill>
                  <a:schemeClr val="tx1"/>
                </a:solidFill>
                <a:latin typeface="+mj-lt"/>
                <a:ea typeface="+mj-ea"/>
                <a:cs typeface="+mj-cs"/>
              </a:defRPr>
            </a:pPr>
            <a:r>
              <a:rPr lang="en-IN" sz="1200" b="1" i="0" u="none" strike="noStrike" cap="none" normalizeH="0" baseline="0">
                <a:solidFill>
                  <a:schemeClr val="tx1"/>
                </a:solidFill>
              </a:rPr>
              <a:t>Department Cost Analysis</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200" b="1" i="0" u="none" strike="noStrike" kern="1200" cap="none" spc="0" normalizeH="0" baseline="0">
              <a:solidFill>
                <a:schemeClr val="tx1"/>
              </a:solidFill>
              <a:latin typeface="+mj-lt"/>
              <a:ea typeface="+mj-ea"/>
              <a:cs typeface="+mj-cs"/>
            </a:defRPr>
          </a:pPr>
          <a:endParaRPr lang="en-US"/>
        </a:p>
      </c:txPr>
    </c:title>
    <c:autoTitleDeleted val="0"/>
    <c:pivotFmts>
      <c:pivotFmt>
        <c:idx val="0"/>
        <c:spPr>
          <a:solidFill>
            <a:schemeClr val="accent1"/>
          </a:solidFill>
          <a:ln>
            <a:noFill/>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Cost Analysis'!$B$2</c:f>
              <c:strCache>
                <c:ptCount val="1"/>
                <c:pt idx="0">
                  <c:v>Total</c:v>
                </c:pt>
              </c:strCache>
            </c:strRef>
          </c:tx>
          <c:spPr>
            <a:solidFill>
              <a:schemeClr val="accent1"/>
            </a:solidFill>
            <a:ln>
              <a:noFill/>
            </a:ln>
            <a:effectLst/>
          </c:spPr>
          <c:invertIfNegative val="0"/>
          <c:cat>
            <c:strRef>
              <c:f>'Department Cost Analysis'!$A$3:$A$7</c:f>
              <c:strCache>
                <c:ptCount val="4"/>
                <c:pt idx="0">
                  <c:v>Cardiology</c:v>
                </c:pt>
                <c:pt idx="1">
                  <c:v>Neurology</c:v>
                </c:pt>
                <c:pt idx="2">
                  <c:v>Oncology</c:v>
                </c:pt>
                <c:pt idx="3">
                  <c:v>Orthopedics</c:v>
                </c:pt>
              </c:strCache>
            </c:strRef>
          </c:cat>
          <c:val>
            <c:numRef>
              <c:f>'Department Cost Analysis'!$B$3:$B$7</c:f>
              <c:numCache>
                <c:formatCode>General</c:formatCode>
                <c:ptCount val="4"/>
                <c:pt idx="0">
                  <c:v>331000</c:v>
                </c:pt>
                <c:pt idx="1">
                  <c:v>326500</c:v>
                </c:pt>
                <c:pt idx="2">
                  <c:v>341000</c:v>
                </c:pt>
                <c:pt idx="3">
                  <c:v>224400</c:v>
                </c:pt>
              </c:numCache>
            </c:numRef>
          </c:val>
          <c:extLst>
            <c:ext xmlns:c16="http://schemas.microsoft.com/office/drawing/2014/chart" uri="{C3380CC4-5D6E-409C-BE32-E72D297353CC}">
              <c16:uniqueId val="{00000000-F733-4DB9-AB96-D0073BD552CF}"/>
            </c:ext>
          </c:extLst>
        </c:ser>
        <c:dLbls>
          <c:showLegendKey val="0"/>
          <c:showVal val="0"/>
          <c:showCatName val="0"/>
          <c:showSerName val="0"/>
          <c:showPercent val="0"/>
          <c:showBubbleSize val="0"/>
        </c:dLbls>
        <c:gapWidth val="267"/>
        <c:overlap val="-43"/>
        <c:axId val="234751343"/>
        <c:axId val="234766223"/>
      </c:barChart>
      <c:catAx>
        <c:axId val="23475134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34766223"/>
        <c:crosses val="autoZero"/>
        <c:auto val="1"/>
        <c:lblAlgn val="ctr"/>
        <c:lblOffset val="100"/>
        <c:noMultiLvlLbl val="0"/>
      </c:catAx>
      <c:valAx>
        <c:axId val="234766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34751343"/>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Portfolio.xlsx]Emergency vs Planned Spend!PivotTable2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s>
    <c:plotArea>
      <c:layout/>
      <c:doughnutChart>
        <c:varyColors val="1"/>
        <c:ser>
          <c:idx val="0"/>
          <c:order val="0"/>
          <c:tx>
            <c:strRef>
              <c:f>'Emergency vs Planned Spend'!$B$3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999-414A-B0B4-A9FA562AB22D}"/>
              </c:ext>
            </c:extLst>
          </c:dPt>
          <c:dPt>
            <c:idx val="1"/>
            <c:bubble3D val="0"/>
            <c:spPr>
              <a:solidFill>
                <a:schemeClr val="accent2"/>
              </a:solidFill>
              <a:ln>
                <a:noFill/>
              </a:ln>
              <a:effectLst/>
            </c:spPr>
            <c:extLst>
              <c:ext xmlns:c16="http://schemas.microsoft.com/office/drawing/2014/chart" uri="{C3380CC4-5D6E-409C-BE32-E72D297353CC}">
                <c16:uniqueId val="{00000003-D999-414A-B0B4-A9FA562AB22D}"/>
              </c:ext>
            </c:extLst>
          </c:dPt>
          <c:cat>
            <c:strRef>
              <c:f>'Emergency vs Planned Spend'!$A$4:$A$6</c:f>
              <c:strCache>
                <c:ptCount val="2"/>
                <c:pt idx="0">
                  <c:v>Emergency</c:v>
                </c:pt>
                <c:pt idx="1">
                  <c:v>Planned</c:v>
                </c:pt>
              </c:strCache>
            </c:strRef>
          </c:cat>
          <c:val>
            <c:numRef>
              <c:f>'Emergency vs Planned Spend'!$B$4:$B$6</c:f>
              <c:numCache>
                <c:formatCode>General</c:formatCode>
                <c:ptCount val="2"/>
                <c:pt idx="0">
                  <c:v>360000</c:v>
                </c:pt>
                <c:pt idx="1">
                  <c:v>862900</c:v>
                </c:pt>
              </c:numCache>
            </c:numRef>
          </c:val>
          <c:extLst>
            <c:ext xmlns:c16="http://schemas.microsoft.com/office/drawing/2014/chart" uri="{C3380CC4-5D6E-409C-BE32-E72D297353CC}">
              <c16:uniqueId val="{00000004-D999-414A-B0B4-A9FA562AB22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Portfolio.xlsx]Doctor Cost Drivers!PivotTable3</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'Doctor Cost Drivers'!$B$2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'Doctor Cost Drivers'!$A$3:$A$7</c:f>
              <c:strCache>
                <c:ptCount val="4"/>
                <c:pt idx="0">
                  <c:v>Dr Iyer</c:v>
                </c:pt>
                <c:pt idx="1">
                  <c:v>Dr Mehta</c:v>
                </c:pt>
                <c:pt idx="2">
                  <c:v>Dr Rao</c:v>
                </c:pt>
                <c:pt idx="3">
                  <c:v>Dr Shah</c:v>
                </c:pt>
              </c:strCache>
            </c:strRef>
          </c:cat>
          <c:val>
            <c:numRef>
              <c:f>'Doctor Cost Drivers'!$B$3:$B$7</c:f>
              <c:numCache>
                <c:formatCode>General</c:formatCode>
                <c:ptCount val="4"/>
                <c:pt idx="0">
                  <c:v>326500</c:v>
                </c:pt>
                <c:pt idx="1">
                  <c:v>224400</c:v>
                </c:pt>
                <c:pt idx="2">
                  <c:v>341000</c:v>
                </c:pt>
                <c:pt idx="3">
                  <c:v>331000</c:v>
                </c:pt>
              </c:numCache>
            </c:numRef>
          </c:val>
          <c:extLst>
            <c:ext xmlns:c16="http://schemas.microsoft.com/office/drawing/2014/chart" uri="{C3380CC4-5D6E-409C-BE32-E72D297353CC}">
              <c16:uniqueId val="{00000000-47B0-4AAE-B81F-78AFBA45DEC9}"/>
            </c:ext>
          </c:extLst>
        </c:ser>
        <c:dLbls>
          <c:showLegendKey val="0"/>
          <c:showVal val="0"/>
          <c:showCatName val="0"/>
          <c:showSerName val="0"/>
          <c:showPercent val="0"/>
          <c:showBubbleSize val="0"/>
        </c:dLbls>
        <c:gapWidth val="150"/>
        <c:overlap val="100"/>
        <c:axId val="377170271"/>
        <c:axId val="377190911"/>
      </c:barChart>
      <c:catAx>
        <c:axId val="37717027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190911"/>
        <c:crosses val="autoZero"/>
        <c:auto val="1"/>
        <c:lblAlgn val="ctr"/>
        <c:lblOffset val="100"/>
        <c:noMultiLvlLbl val="0"/>
      </c:catAx>
      <c:valAx>
        <c:axId val="377190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17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Portfolio.xlsx]Department × Admission Type!PivotTable4</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 Admission Type'!$B$3:$B$4</c:f>
              <c:strCache>
                <c:ptCount val="1"/>
                <c:pt idx="0">
                  <c:v>Emergency</c:v>
                </c:pt>
              </c:strCache>
            </c:strRef>
          </c:tx>
          <c:spPr>
            <a:solidFill>
              <a:schemeClr val="accent1"/>
            </a:solidFill>
            <a:ln>
              <a:noFill/>
            </a:ln>
            <a:effectLst/>
          </c:spPr>
          <c:invertIfNegative val="0"/>
          <c:cat>
            <c:strRef>
              <c:f>'Department × Admission Type'!$A$5:$A$9</c:f>
              <c:strCache>
                <c:ptCount val="4"/>
                <c:pt idx="0">
                  <c:v>Cardiology</c:v>
                </c:pt>
                <c:pt idx="1">
                  <c:v>Neurology</c:v>
                </c:pt>
                <c:pt idx="2">
                  <c:v>Oncology</c:v>
                </c:pt>
                <c:pt idx="3">
                  <c:v>Orthopedics</c:v>
                </c:pt>
              </c:strCache>
            </c:strRef>
          </c:cat>
          <c:val>
            <c:numRef>
              <c:f>'Department × Admission Type'!$B$5:$B$9</c:f>
              <c:numCache>
                <c:formatCode>General</c:formatCode>
                <c:ptCount val="4"/>
                <c:pt idx="0">
                  <c:v>135000</c:v>
                </c:pt>
                <c:pt idx="1">
                  <c:v>137000</c:v>
                </c:pt>
                <c:pt idx="3">
                  <c:v>88000</c:v>
                </c:pt>
              </c:numCache>
            </c:numRef>
          </c:val>
          <c:extLst>
            <c:ext xmlns:c16="http://schemas.microsoft.com/office/drawing/2014/chart" uri="{C3380CC4-5D6E-409C-BE32-E72D297353CC}">
              <c16:uniqueId val="{00000000-7794-46E9-A16F-2118B6E55B72}"/>
            </c:ext>
          </c:extLst>
        </c:ser>
        <c:ser>
          <c:idx val="1"/>
          <c:order val="1"/>
          <c:tx>
            <c:strRef>
              <c:f>'Department × Admission Type'!$C$3:$C$4</c:f>
              <c:strCache>
                <c:ptCount val="1"/>
                <c:pt idx="0">
                  <c:v>Planned</c:v>
                </c:pt>
              </c:strCache>
            </c:strRef>
          </c:tx>
          <c:spPr>
            <a:solidFill>
              <a:schemeClr val="accent2"/>
            </a:solidFill>
            <a:ln>
              <a:noFill/>
            </a:ln>
            <a:effectLst/>
          </c:spPr>
          <c:invertIfNegative val="0"/>
          <c:cat>
            <c:strRef>
              <c:f>'Department × Admission Type'!$A$5:$A$9</c:f>
              <c:strCache>
                <c:ptCount val="4"/>
                <c:pt idx="0">
                  <c:v>Cardiology</c:v>
                </c:pt>
                <c:pt idx="1">
                  <c:v>Neurology</c:v>
                </c:pt>
                <c:pt idx="2">
                  <c:v>Oncology</c:v>
                </c:pt>
                <c:pt idx="3">
                  <c:v>Orthopedics</c:v>
                </c:pt>
              </c:strCache>
            </c:strRef>
          </c:cat>
          <c:val>
            <c:numRef>
              <c:f>'Department × Admission Type'!$C$5:$C$9</c:f>
              <c:numCache>
                <c:formatCode>General</c:formatCode>
                <c:ptCount val="4"/>
                <c:pt idx="0">
                  <c:v>196000</c:v>
                </c:pt>
                <c:pt idx="1">
                  <c:v>189500</c:v>
                </c:pt>
                <c:pt idx="2">
                  <c:v>341000</c:v>
                </c:pt>
                <c:pt idx="3">
                  <c:v>136400</c:v>
                </c:pt>
              </c:numCache>
            </c:numRef>
          </c:val>
          <c:extLst>
            <c:ext xmlns:c16="http://schemas.microsoft.com/office/drawing/2014/chart" uri="{C3380CC4-5D6E-409C-BE32-E72D297353CC}">
              <c16:uniqueId val="{00000001-7794-46E9-A16F-2118B6E55B72}"/>
            </c:ext>
          </c:extLst>
        </c:ser>
        <c:dLbls>
          <c:showLegendKey val="0"/>
          <c:showVal val="0"/>
          <c:showCatName val="0"/>
          <c:showSerName val="0"/>
          <c:showPercent val="0"/>
          <c:showBubbleSize val="0"/>
        </c:dLbls>
        <c:gapWidth val="219"/>
        <c:axId val="481640911"/>
        <c:axId val="481652431"/>
      </c:barChart>
      <c:catAx>
        <c:axId val="48164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652431"/>
        <c:crosses val="autoZero"/>
        <c:auto val="1"/>
        <c:lblAlgn val="ctr"/>
        <c:lblOffset val="100"/>
        <c:noMultiLvlLbl val="0"/>
      </c:catAx>
      <c:valAx>
        <c:axId val="481652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640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746760</xdr:colOff>
      <xdr:row>12</xdr:row>
      <xdr:rowOff>0</xdr:rowOff>
    </xdr:from>
    <xdr:to>
      <xdr:col>5</xdr:col>
      <xdr:colOff>0</xdr:colOff>
      <xdr:row>20</xdr:row>
      <xdr:rowOff>38100</xdr:rowOff>
    </xdr:to>
    <xdr:sp macro="" textlink="">
      <xdr:nvSpPr>
        <xdr:cNvPr id="2" name="TextBox 1">
          <a:extLst>
            <a:ext uri="{FF2B5EF4-FFF2-40B4-BE49-F238E27FC236}">
              <a16:creationId xmlns:a16="http://schemas.microsoft.com/office/drawing/2014/main" id="{0E21C691-2935-7037-ACA1-B74A3CF0A729}"/>
            </a:ext>
          </a:extLst>
        </xdr:cNvPr>
        <xdr:cNvSpPr txBox="1"/>
      </xdr:nvSpPr>
      <xdr:spPr>
        <a:xfrm>
          <a:off x="2392680" y="2560320"/>
          <a:ext cx="2468880" cy="1501140"/>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r>
            <a:rPr lang="en-IN" sz="900" b="1"/>
            <a:t>Managerial interpretation </a:t>
          </a:r>
        </a:p>
        <a:p>
          <a:r>
            <a:rPr lang="en-IN" sz="900"/>
            <a:t>40% of patients were served within </a:t>
          </a:r>
          <a:r>
            <a:rPr lang="en-IN" sz="900" b="1"/>
            <a:t>15 minutes</a:t>
          </a:r>
          <a:r>
            <a:rPr lang="en-IN" sz="900"/>
            <a:t> (Good).</a:t>
          </a:r>
          <a:br>
            <a:rPr lang="en-IN" sz="900"/>
          </a:br>
          <a:r>
            <a:rPr lang="en-IN" sz="900"/>
            <a:t>30% waited </a:t>
          </a:r>
          <a:r>
            <a:rPr lang="en-IN" sz="900" b="1"/>
            <a:t>15–29 minutes</a:t>
          </a:r>
          <a:r>
            <a:rPr lang="en-IN" sz="900"/>
            <a:t> (tolerable).</a:t>
          </a:r>
          <a:br>
            <a:rPr lang="en-IN" sz="900"/>
          </a:br>
          <a:r>
            <a:rPr lang="en-IN" sz="900"/>
            <a:t>30% waited </a:t>
          </a:r>
          <a:r>
            <a:rPr lang="en-IN" sz="900" b="1"/>
            <a:t>30+ minutes</a:t>
          </a:r>
          <a:r>
            <a:rPr lang="en-IN" sz="900"/>
            <a:t> → </a:t>
          </a:r>
          <a:r>
            <a:rPr lang="en-IN" sz="900" b="1"/>
            <a:t>service risk</a:t>
          </a:r>
          <a:r>
            <a:rPr lang="en-IN" sz="900"/>
            <a:t> </a:t>
          </a:r>
        </a:p>
        <a:p>
          <a:r>
            <a:rPr lang="en-IN" sz="900"/>
            <a:t>In real hospital ops, anything above </a:t>
          </a:r>
          <a:r>
            <a:rPr lang="en-IN" sz="900" b="1"/>
            <a:t>20% Poor</a:t>
          </a:r>
          <a:r>
            <a:rPr lang="en-IN" sz="900"/>
            <a:t> triggers:</a:t>
          </a:r>
        </a:p>
        <a:p>
          <a:r>
            <a:rPr lang="en-IN" sz="900"/>
            <a:t>staffing review</a:t>
          </a:r>
        </a:p>
        <a:p>
          <a:r>
            <a:rPr lang="en-IN" sz="900"/>
            <a:t>queue redesign</a:t>
          </a:r>
        </a:p>
        <a:p>
          <a:r>
            <a:rPr lang="en-IN" sz="900"/>
            <a:t>appointment slotting changes</a:t>
          </a: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213360</xdr:colOff>
      <xdr:row>0</xdr:row>
      <xdr:rowOff>114300</xdr:rowOff>
    </xdr:from>
    <xdr:to>
      <xdr:col>4</xdr:col>
      <xdr:colOff>483476</xdr:colOff>
      <xdr:row>5</xdr:row>
      <xdr:rowOff>89338</xdr:rowOff>
    </xdr:to>
    <xdr:sp macro="" textlink="">
      <xdr:nvSpPr>
        <xdr:cNvPr id="2" name="TextBox 1">
          <a:extLst>
            <a:ext uri="{FF2B5EF4-FFF2-40B4-BE49-F238E27FC236}">
              <a16:creationId xmlns:a16="http://schemas.microsoft.com/office/drawing/2014/main" id="{E48AB7E6-4FFD-F3EC-0139-816B4A7CCD48}"/>
            </a:ext>
          </a:extLst>
        </xdr:cNvPr>
        <xdr:cNvSpPr txBox="1"/>
      </xdr:nvSpPr>
      <xdr:spPr>
        <a:xfrm>
          <a:off x="213360" y="114300"/>
          <a:ext cx="2708516" cy="8946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Practiced in the online excel speard sheet</a:t>
          </a:r>
          <a:r>
            <a:rPr lang="en-IN" sz="1100" baseline="0"/>
            <a:t> </a:t>
          </a:r>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7</xdr:row>
      <xdr:rowOff>49530</xdr:rowOff>
    </xdr:from>
    <xdr:to>
      <xdr:col>6</xdr:col>
      <xdr:colOff>38100</xdr:colOff>
      <xdr:row>22</xdr:row>
      <xdr:rowOff>49530</xdr:rowOff>
    </xdr:to>
    <xdr:graphicFrame macro="">
      <xdr:nvGraphicFramePr>
        <xdr:cNvPr id="2" name="Chart 1">
          <a:extLst>
            <a:ext uri="{FF2B5EF4-FFF2-40B4-BE49-F238E27FC236}">
              <a16:creationId xmlns:a16="http://schemas.microsoft.com/office/drawing/2014/main" id="{35531D8B-10C8-11A6-6677-B5DB3687BD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38100</xdr:colOff>
      <xdr:row>3</xdr:row>
      <xdr:rowOff>129541</xdr:rowOff>
    </xdr:from>
    <xdr:to>
      <xdr:col>11</xdr:col>
      <xdr:colOff>220980</xdr:colOff>
      <xdr:row>12</xdr:row>
      <xdr:rowOff>45721</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30183FAF-53BF-713A-2B65-95C152A3E06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234940" y="678181"/>
              <a:ext cx="182880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83820</xdr:colOff>
      <xdr:row>6</xdr:row>
      <xdr:rowOff>121920</xdr:rowOff>
    </xdr:from>
    <xdr:to>
      <xdr:col>6</xdr:col>
      <xdr:colOff>91440</xdr:colOff>
      <xdr:row>21</xdr:row>
      <xdr:rowOff>121920</xdr:rowOff>
    </xdr:to>
    <xdr:graphicFrame macro="">
      <xdr:nvGraphicFramePr>
        <xdr:cNvPr id="2" name="Chart 1">
          <a:extLst>
            <a:ext uri="{FF2B5EF4-FFF2-40B4-BE49-F238E27FC236}">
              <a16:creationId xmlns:a16="http://schemas.microsoft.com/office/drawing/2014/main" id="{270E7DA7-80FB-D400-22B1-816D5D01F9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5</xdr:row>
      <xdr:rowOff>3810</xdr:rowOff>
    </xdr:from>
    <xdr:to>
      <xdr:col>6</xdr:col>
      <xdr:colOff>259080</xdr:colOff>
      <xdr:row>20</xdr:row>
      <xdr:rowOff>3810</xdr:rowOff>
    </xdr:to>
    <xdr:graphicFrame macro="">
      <xdr:nvGraphicFramePr>
        <xdr:cNvPr id="2" name="Chart 1">
          <a:extLst>
            <a:ext uri="{FF2B5EF4-FFF2-40B4-BE49-F238E27FC236}">
              <a16:creationId xmlns:a16="http://schemas.microsoft.com/office/drawing/2014/main" id="{BA2BD0D7-671E-5290-99B0-C98908A19E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373380</xdr:colOff>
      <xdr:row>5</xdr:row>
      <xdr:rowOff>1</xdr:rowOff>
    </xdr:from>
    <xdr:to>
      <xdr:col>9</xdr:col>
      <xdr:colOff>373380</xdr:colOff>
      <xdr:row>13</xdr:row>
      <xdr:rowOff>53341</xdr:rowOff>
    </xdr:to>
    <mc:AlternateContent xmlns:mc="http://schemas.openxmlformats.org/markup-compatibility/2006" xmlns:a14="http://schemas.microsoft.com/office/drawing/2010/main">
      <mc:Choice Requires="a14">
        <xdr:graphicFrame macro="">
          <xdr:nvGraphicFramePr>
            <xdr:cNvPr id="3" name="Doctor 1">
              <a:extLst>
                <a:ext uri="{FF2B5EF4-FFF2-40B4-BE49-F238E27FC236}">
                  <a16:creationId xmlns:a16="http://schemas.microsoft.com/office/drawing/2014/main" id="{81C9ED5E-00BB-8A96-1690-5326F84D99B4}"/>
                </a:ext>
              </a:extLst>
            </xdr:cNvPr>
            <xdr:cNvGraphicFramePr/>
          </xdr:nvGraphicFramePr>
          <xdr:xfrm>
            <a:off x="0" y="0"/>
            <a:ext cx="0" cy="0"/>
          </xdr:xfrm>
          <a:graphic>
            <a:graphicData uri="http://schemas.microsoft.com/office/drawing/2010/slicer">
              <sle:slicer xmlns:sle="http://schemas.microsoft.com/office/drawing/2010/slicer" name="Doctor 1"/>
            </a:graphicData>
          </a:graphic>
        </xdr:graphicFrame>
      </mc:Choice>
      <mc:Fallback xmlns="">
        <xdr:sp macro="" textlink="">
          <xdr:nvSpPr>
            <xdr:cNvPr id="0" name=""/>
            <xdr:cNvSpPr>
              <a:spLocks noTextEdit="1"/>
            </xdr:cNvSpPr>
          </xdr:nvSpPr>
          <xdr:spPr>
            <a:xfrm>
              <a:off x="4709160" y="914401"/>
              <a:ext cx="1828800"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106680</xdr:colOff>
      <xdr:row>10</xdr:row>
      <xdr:rowOff>11430</xdr:rowOff>
    </xdr:from>
    <xdr:to>
      <xdr:col>6</xdr:col>
      <xdr:colOff>114300</xdr:colOff>
      <xdr:row>25</xdr:row>
      <xdr:rowOff>11430</xdr:rowOff>
    </xdr:to>
    <xdr:graphicFrame macro="">
      <xdr:nvGraphicFramePr>
        <xdr:cNvPr id="2" name="Chart 1">
          <a:extLst>
            <a:ext uri="{FF2B5EF4-FFF2-40B4-BE49-F238E27FC236}">
              <a16:creationId xmlns:a16="http://schemas.microsoft.com/office/drawing/2014/main" id="{FE5CE94F-7D82-2BCE-2CD0-D21E684F50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160020</xdr:colOff>
      <xdr:row>2</xdr:row>
      <xdr:rowOff>7621</xdr:rowOff>
    </xdr:from>
    <xdr:to>
      <xdr:col>7</xdr:col>
      <xdr:colOff>160020</xdr:colOff>
      <xdr:row>7</xdr:row>
      <xdr:rowOff>106681</xdr:rowOff>
    </xdr:to>
    <mc:AlternateContent xmlns:mc="http://schemas.openxmlformats.org/markup-compatibility/2006" xmlns:a14="http://schemas.microsoft.com/office/drawing/2010/main">
      <mc:Choice Requires="a14">
        <xdr:graphicFrame macro="">
          <xdr:nvGraphicFramePr>
            <xdr:cNvPr id="3" name="Admission_Type 1">
              <a:extLst>
                <a:ext uri="{FF2B5EF4-FFF2-40B4-BE49-F238E27FC236}">
                  <a16:creationId xmlns:a16="http://schemas.microsoft.com/office/drawing/2014/main" id="{AED18263-E7F4-0156-DFDF-D868562427C3}"/>
                </a:ext>
              </a:extLst>
            </xdr:cNvPr>
            <xdr:cNvGraphicFramePr/>
          </xdr:nvGraphicFramePr>
          <xdr:xfrm>
            <a:off x="0" y="0"/>
            <a:ext cx="0" cy="0"/>
          </xdr:xfrm>
          <a:graphic>
            <a:graphicData uri="http://schemas.microsoft.com/office/drawing/2010/slicer">
              <sle:slicer xmlns:sle="http://schemas.microsoft.com/office/drawing/2010/slicer" name="Admission_Type 1"/>
            </a:graphicData>
          </a:graphic>
        </xdr:graphicFrame>
      </mc:Choice>
      <mc:Fallback xmlns="">
        <xdr:sp macro="" textlink="">
          <xdr:nvSpPr>
            <xdr:cNvPr id="0" name=""/>
            <xdr:cNvSpPr>
              <a:spLocks noTextEdit="1"/>
            </xdr:cNvSpPr>
          </xdr:nvSpPr>
          <xdr:spPr>
            <a:xfrm>
              <a:off x="3634740" y="373381"/>
              <a:ext cx="1828800" cy="1013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xdr:row>
      <xdr:rowOff>25548</xdr:rowOff>
    </xdr:from>
    <xdr:to>
      <xdr:col>6</xdr:col>
      <xdr:colOff>206187</xdr:colOff>
      <xdr:row>18</xdr:row>
      <xdr:rowOff>80682</xdr:rowOff>
    </xdr:to>
    <xdr:graphicFrame macro="">
      <xdr:nvGraphicFramePr>
        <xdr:cNvPr id="2" name="Chart 1">
          <a:extLst>
            <a:ext uri="{FF2B5EF4-FFF2-40B4-BE49-F238E27FC236}">
              <a16:creationId xmlns:a16="http://schemas.microsoft.com/office/drawing/2014/main" id="{6CA9D18C-8642-4DC5-9D00-9C27A2E57F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17929</xdr:colOff>
      <xdr:row>18</xdr:row>
      <xdr:rowOff>152400</xdr:rowOff>
    </xdr:from>
    <xdr:to>
      <xdr:col>6</xdr:col>
      <xdr:colOff>197224</xdr:colOff>
      <xdr:row>34</xdr:row>
      <xdr:rowOff>26894</xdr:rowOff>
    </xdr:to>
    <xdr:graphicFrame macro="">
      <xdr:nvGraphicFramePr>
        <xdr:cNvPr id="3" name="Chart 2">
          <a:extLst>
            <a:ext uri="{FF2B5EF4-FFF2-40B4-BE49-F238E27FC236}">
              <a16:creationId xmlns:a16="http://schemas.microsoft.com/office/drawing/2014/main" id="{69E54837-C548-4225-9EDA-D583871478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322729</xdr:colOff>
      <xdr:row>2</xdr:row>
      <xdr:rowOff>17929</xdr:rowOff>
    </xdr:from>
    <xdr:to>
      <xdr:col>13</xdr:col>
      <xdr:colOff>448235</xdr:colOff>
      <xdr:row>18</xdr:row>
      <xdr:rowOff>107576</xdr:rowOff>
    </xdr:to>
    <xdr:graphicFrame macro="">
      <xdr:nvGraphicFramePr>
        <xdr:cNvPr id="4" name="Chart 3">
          <a:extLst>
            <a:ext uri="{FF2B5EF4-FFF2-40B4-BE49-F238E27FC236}">
              <a16:creationId xmlns:a16="http://schemas.microsoft.com/office/drawing/2014/main" id="{8B860157-FD80-4C62-96FE-AE19453A27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340660</xdr:colOff>
      <xdr:row>19</xdr:row>
      <xdr:rowOff>0</xdr:rowOff>
    </xdr:from>
    <xdr:to>
      <xdr:col>13</xdr:col>
      <xdr:colOff>439271</xdr:colOff>
      <xdr:row>34</xdr:row>
      <xdr:rowOff>53788</xdr:rowOff>
    </xdr:to>
    <xdr:graphicFrame macro="">
      <xdr:nvGraphicFramePr>
        <xdr:cNvPr id="5" name="Chart 4">
          <a:extLst>
            <a:ext uri="{FF2B5EF4-FFF2-40B4-BE49-F238E27FC236}">
              <a16:creationId xmlns:a16="http://schemas.microsoft.com/office/drawing/2014/main" id="{FD2DDBD5-6FD8-4ED0-9E5D-526CA4083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600637</xdr:colOff>
      <xdr:row>2</xdr:row>
      <xdr:rowOff>62754</xdr:rowOff>
    </xdr:from>
    <xdr:to>
      <xdr:col>16</xdr:col>
      <xdr:colOff>600637</xdr:colOff>
      <xdr:row>11</xdr:row>
      <xdr:rowOff>11207</xdr:rowOff>
    </xdr:to>
    <mc:AlternateContent xmlns:mc="http://schemas.openxmlformats.org/markup-compatibility/2006" xmlns:a14="http://schemas.microsoft.com/office/drawing/2010/main">
      <mc:Choice Requires="a14">
        <xdr:graphicFrame macro="">
          <xdr:nvGraphicFramePr>
            <xdr:cNvPr id="6" name="Department 1">
              <a:extLst>
                <a:ext uri="{FF2B5EF4-FFF2-40B4-BE49-F238E27FC236}">
                  <a16:creationId xmlns:a16="http://schemas.microsoft.com/office/drawing/2014/main" id="{70337D9E-DAEF-448E-8550-CDADE3196766}"/>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8525437" y="421342"/>
              <a:ext cx="182880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597050</xdr:colOff>
      <xdr:row>17</xdr:row>
      <xdr:rowOff>129540</xdr:rowOff>
    </xdr:from>
    <xdr:to>
      <xdr:col>16</xdr:col>
      <xdr:colOff>597050</xdr:colOff>
      <xdr:row>25</xdr:row>
      <xdr:rowOff>152400</xdr:rowOff>
    </xdr:to>
    <mc:AlternateContent xmlns:mc="http://schemas.openxmlformats.org/markup-compatibility/2006" xmlns:a14="http://schemas.microsoft.com/office/drawing/2010/main">
      <mc:Choice Requires="a14">
        <xdr:graphicFrame macro="">
          <xdr:nvGraphicFramePr>
            <xdr:cNvPr id="7" name="Doctor">
              <a:extLst>
                <a:ext uri="{FF2B5EF4-FFF2-40B4-BE49-F238E27FC236}">
                  <a16:creationId xmlns:a16="http://schemas.microsoft.com/office/drawing/2014/main" id="{0B398973-AC51-33DE-AF33-CFBADF5E1785}"/>
                </a:ext>
              </a:extLst>
            </xdr:cNvPr>
            <xdr:cNvGraphicFramePr/>
          </xdr:nvGraphicFramePr>
          <xdr:xfrm>
            <a:off x="0" y="0"/>
            <a:ext cx="0" cy="0"/>
          </xdr:xfrm>
          <a:graphic>
            <a:graphicData uri="http://schemas.microsoft.com/office/drawing/2010/slicer">
              <sle:slicer xmlns:sle="http://schemas.microsoft.com/office/drawing/2010/slicer" name="Doctor"/>
            </a:graphicData>
          </a:graphic>
        </xdr:graphicFrame>
      </mc:Choice>
      <mc:Fallback xmlns="">
        <xdr:sp macro="" textlink="">
          <xdr:nvSpPr>
            <xdr:cNvPr id="0" name=""/>
            <xdr:cNvSpPr>
              <a:spLocks noTextEdit="1"/>
            </xdr:cNvSpPr>
          </xdr:nvSpPr>
          <xdr:spPr>
            <a:xfrm>
              <a:off x="8521850" y="3177540"/>
              <a:ext cx="1828800" cy="1457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597049</xdr:colOff>
      <xdr:row>11</xdr:row>
      <xdr:rowOff>120576</xdr:rowOff>
    </xdr:from>
    <xdr:to>
      <xdr:col>16</xdr:col>
      <xdr:colOff>597049</xdr:colOff>
      <xdr:row>17</xdr:row>
      <xdr:rowOff>8965</xdr:rowOff>
    </xdr:to>
    <mc:AlternateContent xmlns:mc="http://schemas.openxmlformats.org/markup-compatibility/2006" xmlns:a14="http://schemas.microsoft.com/office/drawing/2010/main">
      <mc:Choice Requires="a14">
        <xdr:graphicFrame macro="">
          <xdr:nvGraphicFramePr>
            <xdr:cNvPr id="8" name="Admission_Type">
              <a:extLst>
                <a:ext uri="{FF2B5EF4-FFF2-40B4-BE49-F238E27FC236}">
                  <a16:creationId xmlns:a16="http://schemas.microsoft.com/office/drawing/2014/main" id="{2511FCB6-8A99-7999-772D-2BDC7280B3EA}"/>
                </a:ext>
              </a:extLst>
            </xdr:cNvPr>
            <xdr:cNvGraphicFramePr/>
          </xdr:nvGraphicFramePr>
          <xdr:xfrm>
            <a:off x="0" y="0"/>
            <a:ext cx="0" cy="0"/>
          </xdr:xfrm>
          <a:graphic>
            <a:graphicData uri="http://schemas.microsoft.com/office/drawing/2010/slicer">
              <sle:slicer xmlns:sle="http://schemas.microsoft.com/office/drawing/2010/slicer" name="Admission_Type"/>
            </a:graphicData>
          </a:graphic>
        </xdr:graphicFrame>
      </mc:Choice>
      <mc:Fallback xmlns="">
        <xdr:sp macro="" textlink="">
          <xdr:nvSpPr>
            <xdr:cNvPr id="0" name=""/>
            <xdr:cNvSpPr>
              <a:spLocks noTextEdit="1"/>
            </xdr:cNvSpPr>
          </xdr:nvSpPr>
          <xdr:spPr>
            <a:xfrm>
              <a:off x="8521849" y="2092811"/>
              <a:ext cx="1828800" cy="9641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 Vast" refreshedDate="46048.636830439813" createdVersion="8" refreshedVersion="8" minRefreshableVersion="3" recordCount="20" xr:uid="{D1D6D53D-CEA4-4DF5-8CDF-E8737B833637}">
  <cacheSource type="worksheet">
    <worksheetSource name="Table3"/>
  </cacheSource>
  <cacheFields count="8">
    <cacheField name="Patient_ID" numFmtId="0">
      <sharedItems count="20">
        <s v="P001"/>
        <s v="P002"/>
        <s v="P003"/>
        <s v="P004"/>
        <s v="P005"/>
        <s v="P006"/>
        <s v="P007"/>
        <s v="P008"/>
        <s v="P009"/>
        <s v="P010"/>
        <s v="P011"/>
        <s v="P012"/>
        <s v="P013"/>
        <s v="P014"/>
        <s v="P015"/>
        <s v="P016"/>
        <s v="P017"/>
        <s v="P018"/>
        <s v="P019"/>
        <s v="P020"/>
      </sharedItems>
    </cacheField>
    <cacheField name="Department" numFmtId="0">
      <sharedItems count="4">
        <s v="Cardiology"/>
        <s v="Neurology"/>
        <s v="Orthopedics"/>
        <s v="Oncology"/>
      </sharedItems>
    </cacheField>
    <cacheField name="Doctor" numFmtId="0">
      <sharedItems count="4">
        <s v="Dr Shah"/>
        <s v="Dr Iyer"/>
        <s v="Dr Mehta"/>
        <s v="Dr Rao"/>
      </sharedItems>
    </cacheField>
    <cacheField name="Treatment" numFmtId="0">
      <sharedItems/>
    </cacheField>
    <cacheField name="Admission_Type" numFmtId="0">
      <sharedItems count="2">
        <s v="Emergency"/>
        <s v="Planned"/>
      </sharedItems>
    </cacheField>
    <cacheField name="Days" numFmtId="0">
      <sharedItems containsSemiMixedTypes="0" containsString="0" containsNumber="1" containsInteger="1" minValue="1" maxValue="12"/>
    </cacheField>
    <cacheField name="Cost_per_Day" numFmtId="0">
      <sharedItems containsSemiMixedTypes="0" containsString="0" containsNumber="1" containsInteger="1" minValue="6000" maxValue="16000" count="15">
        <n v="12000"/>
        <n v="15000"/>
        <n v="9000"/>
        <n v="8000"/>
        <n v="11000"/>
        <n v="14000"/>
        <n v="9500"/>
        <n v="13000"/>
        <n v="11500"/>
        <n v="16000"/>
        <n v="10000"/>
        <n v="9200"/>
        <n v="12500"/>
        <n v="15500"/>
        <n v="6000"/>
      </sharedItems>
    </cacheField>
    <cacheField name="Total_Cost" numFmtId="0">
      <sharedItems containsSemiMixedTypes="0" containsString="0" containsNumber="1" containsInteger="1" minValue="8000" maxValue="144000" count="19">
        <n v="60000"/>
        <n v="105000"/>
        <n v="54000"/>
        <n v="16000"/>
        <n v="110000"/>
        <n v="42000"/>
        <n v="38000"/>
        <n v="104000"/>
        <n v="69000"/>
        <n v="32000"/>
        <n v="30000"/>
        <n v="64400"/>
        <n v="144000"/>
        <n v="8000"/>
        <n v="75000"/>
        <n v="50000"/>
        <n v="18000"/>
        <n v="139500"/>
        <n v="46000"/>
      </sharedItems>
    </cacheField>
  </cacheFields>
  <extLst>
    <ext xmlns:x14="http://schemas.microsoft.com/office/spreadsheetml/2009/9/main" uri="{725AE2AE-9491-48be-B2B4-4EB974FC3084}">
      <x14:pivotCacheDefinition pivotCacheId="16804887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s v="Angioplasty"/>
    <x v="0"/>
    <n v="5"/>
    <x v="0"/>
    <x v="0"/>
  </r>
  <r>
    <x v="1"/>
    <x v="1"/>
    <x v="1"/>
    <s v="Stroke Care"/>
    <x v="0"/>
    <n v="7"/>
    <x v="1"/>
    <x v="1"/>
  </r>
  <r>
    <x v="2"/>
    <x v="2"/>
    <x v="2"/>
    <s v="Knee Surgery"/>
    <x v="1"/>
    <n v="6"/>
    <x v="2"/>
    <x v="2"/>
  </r>
  <r>
    <x v="3"/>
    <x v="0"/>
    <x v="0"/>
    <s v="ECG + Observation"/>
    <x v="1"/>
    <n v="2"/>
    <x v="3"/>
    <x v="3"/>
  </r>
  <r>
    <x v="4"/>
    <x v="3"/>
    <x v="3"/>
    <s v="Chemotherapy"/>
    <x v="1"/>
    <n v="10"/>
    <x v="4"/>
    <x v="4"/>
  </r>
  <r>
    <x v="5"/>
    <x v="1"/>
    <x v="1"/>
    <s v="MRI + Observation"/>
    <x v="1"/>
    <n v="3"/>
    <x v="5"/>
    <x v="5"/>
  </r>
  <r>
    <x v="6"/>
    <x v="2"/>
    <x v="2"/>
    <s v="Fracture"/>
    <x v="0"/>
    <n v="4"/>
    <x v="6"/>
    <x v="6"/>
  </r>
  <r>
    <x v="7"/>
    <x v="0"/>
    <x v="0"/>
    <s v="Bypass Surgery"/>
    <x v="1"/>
    <n v="8"/>
    <x v="7"/>
    <x v="7"/>
  </r>
  <r>
    <x v="8"/>
    <x v="3"/>
    <x v="3"/>
    <s v="Radiation"/>
    <x v="1"/>
    <n v="6"/>
    <x v="8"/>
    <x v="8"/>
  </r>
  <r>
    <x v="9"/>
    <x v="1"/>
    <x v="1"/>
    <s v="Seizure"/>
    <x v="0"/>
    <n v="2"/>
    <x v="9"/>
    <x v="9"/>
  </r>
  <r>
    <x v="10"/>
    <x v="0"/>
    <x v="0"/>
    <s v="Angiography"/>
    <x v="1"/>
    <n v="3"/>
    <x v="10"/>
    <x v="10"/>
  </r>
  <r>
    <x v="11"/>
    <x v="2"/>
    <x v="2"/>
    <s v="Hip Surgery"/>
    <x v="1"/>
    <n v="7"/>
    <x v="11"/>
    <x v="11"/>
  </r>
  <r>
    <x v="12"/>
    <x v="3"/>
    <x v="3"/>
    <s v="Immunotherapy"/>
    <x v="1"/>
    <n v="12"/>
    <x v="0"/>
    <x v="12"/>
  </r>
  <r>
    <x v="13"/>
    <x v="1"/>
    <x v="1"/>
    <s v="EEG"/>
    <x v="1"/>
    <n v="1"/>
    <x v="3"/>
    <x v="13"/>
  </r>
  <r>
    <x v="14"/>
    <x v="0"/>
    <x v="0"/>
    <s v="Heart Failure"/>
    <x v="0"/>
    <n v="6"/>
    <x v="12"/>
    <x v="14"/>
  </r>
  <r>
    <x v="15"/>
    <x v="2"/>
    <x v="2"/>
    <s v="Accident Trauma"/>
    <x v="0"/>
    <n v="5"/>
    <x v="10"/>
    <x v="15"/>
  </r>
  <r>
    <x v="16"/>
    <x v="3"/>
    <x v="3"/>
    <s v="Biopsy"/>
    <x v="1"/>
    <n v="2"/>
    <x v="2"/>
    <x v="16"/>
  </r>
  <r>
    <x v="17"/>
    <x v="1"/>
    <x v="1"/>
    <s v="Brain Surgery"/>
    <x v="1"/>
    <n v="9"/>
    <x v="13"/>
    <x v="17"/>
  </r>
  <r>
    <x v="18"/>
    <x v="0"/>
    <x v="0"/>
    <s v="Stent"/>
    <x v="1"/>
    <n v="4"/>
    <x v="8"/>
    <x v="18"/>
  </r>
  <r>
    <x v="19"/>
    <x v="2"/>
    <x v="2"/>
    <s v="Physiotherapy"/>
    <x v="1"/>
    <n v="3"/>
    <x v="14"/>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ACC5D6-33D4-4828-8388-046BE56F5E7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B7" firstHeaderRow="1" firstDataRow="1" firstDataCol="1"/>
  <pivotFields count="8">
    <pivotField showAll="0">
      <items count="21">
        <item x="0"/>
        <item x="1"/>
        <item x="2"/>
        <item x="3"/>
        <item x="4"/>
        <item x="5"/>
        <item x="6"/>
        <item x="7"/>
        <item x="8"/>
        <item x="9"/>
        <item x="10"/>
        <item x="11"/>
        <item x="12"/>
        <item x="13"/>
        <item x="14"/>
        <item x="15"/>
        <item x="16"/>
        <item x="17"/>
        <item x="18"/>
        <item x="19"/>
        <item t="default"/>
      </items>
    </pivotField>
    <pivotField axis="axisRow" showAll="0">
      <items count="5">
        <item x="0"/>
        <item x="1"/>
        <item x="3"/>
        <item x="2"/>
        <item t="default"/>
      </items>
    </pivotField>
    <pivotField showAll="0">
      <items count="5">
        <item x="1"/>
        <item x="2"/>
        <item x="3"/>
        <item x="0"/>
        <item t="default"/>
      </items>
    </pivotField>
    <pivotField showAll="0"/>
    <pivotField showAll="0">
      <items count="3">
        <item x="0"/>
        <item x="1"/>
        <item t="default"/>
      </items>
    </pivotField>
    <pivotField showAll="0"/>
    <pivotField showAll="0"/>
    <pivotField dataField="1" showAll="0">
      <items count="20">
        <item x="13"/>
        <item x="3"/>
        <item x="16"/>
        <item x="10"/>
        <item x="9"/>
        <item x="6"/>
        <item x="5"/>
        <item x="18"/>
        <item x="15"/>
        <item x="2"/>
        <item x="0"/>
        <item x="11"/>
        <item x="8"/>
        <item x="14"/>
        <item x="7"/>
        <item x="1"/>
        <item x="4"/>
        <item x="17"/>
        <item x="12"/>
        <item t="default"/>
      </items>
    </pivotField>
  </pivotFields>
  <rowFields count="1">
    <field x="1"/>
  </rowFields>
  <rowItems count="5">
    <i>
      <x/>
    </i>
    <i>
      <x v="1"/>
    </i>
    <i>
      <x v="2"/>
    </i>
    <i>
      <x v="3"/>
    </i>
    <i t="grand">
      <x/>
    </i>
  </rowItems>
  <colItems count="1">
    <i/>
  </colItems>
  <dataFields count="1">
    <dataField name="Sum of Total_Cost" fld="7" baseField="0" baseItem="0"/>
  </dataFields>
  <chartFormats count="5">
    <chartFormat chart="0" format="23" series="1">
      <pivotArea type="data" outline="0" fieldPosition="0">
        <references count="1">
          <reference field="4294967294" count="1" selected="0">
            <x v="0"/>
          </reference>
        </references>
      </pivotArea>
    </chartFormat>
    <chartFormat chart="0" format="24" series="1">
      <pivotArea type="data" outline="0" fieldPosition="0">
        <references count="2">
          <reference field="4294967294" count="1" selected="0">
            <x v="0"/>
          </reference>
          <reference field="1" count="1" selected="0">
            <x v="1"/>
          </reference>
        </references>
      </pivotArea>
    </chartFormat>
    <chartFormat chart="0" format="25" series="1">
      <pivotArea type="data" outline="0" fieldPosition="0">
        <references count="2">
          <reference field="4294967294" count="1" selected="0">
            <x v="0"/>
          </reference>
          <reference field="1" count="1" selected="0">
            <x v="2"/>
          </reference>
        </references>
      </pivotArea>
    </chartFormat>
    <chartFormat chart="0" format="26" series="1">
      <pivotArea type="data" outline="0" fieldPosition="0">
        <references count="2">
          <reference field="4294967294" count="1" selected="0">
            <x v="0"/>
          </reference>
          <reference field="1" count="1" selected="0">
            <x v="3"/>
          </reference>
        </references>
      </pivotArea>
    </chartFormat>
    <chartFormat chart="3" format="2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14B1BE-4034-4CC9-9CB0-C5B7B5109C2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pivotFields count="8">
    <pivotField showAll="0"/>
    <pivotField showAll="0">
      <items count="5">
        <item x="0"/>
        <item x="1"/>
        <item x="3"/>
        <item x="2"/>
        <item t="default"/>
      </items>
    </pivotField>
    <pivotField showAll="0">
      <items count="5">
        <item x="1"/>
        <item x="2"/>
        <item x="3"/>
        <item x="0"/>
        <item t="default"/>
      </items>
    </pivotField>
    <pivotField showAll="0"/>
    <pivotField axis="axisRow" showAll="0">
      <items count="3">
        <item x="0"/>
        <item x="1"/>
        <item t="default"/>
      </items>
    </pivotField>
    <pivotField showAll="0"/>
    <pivotField showAll="0"/>
    <pivotField dataField="1" showAll="0"/>
  </pivotFields>
  <rowFields count="1">
    <field x="4"/>
  </rowFields>
  <rowItems count="3">
    <i>
      <x/>
    </i>
    <i>
      <x v="1"/>
    </i>
    <i t="grand">
      <x/>
    </i>
  </rowItems>
  <colItems count="1">
    <i/>
  </colItems>
  <dataFields count="1">
    <dataField name="Sum of Total_Cost" fld="7"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4" count="1" selected="0">
            <x v="0"/>
          </reference>
        </references>
      </pivotArea>
    </chartFormat>
    <chartFormat chart="6" format="7">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7DEBD8-1663-4204-9EB2-6E7D735698D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B7" firstHeaderRow="1" firstDataRow="1" firstDataCol="1"/>
  <pivotFields count="8">
    <pivotField showAll="0"/>
    <pivotField showAll="0">
      <items count="5">
        <item x="0"/>
        <item x="1"/>
        <item x="3"/>
        <item x="2"/>
        <item t="default"/>
      </items>
    </pivotField>
    <pivotField axis="axisRow" showAll="0">
      <items count="5">
        <item x="1"/>
        <item x="2"/>
        <item x="3"/>
        <item x="0"/>
        <item t="default"/>
      </items>
    </pivotField>
    <pivotField showAll="0"/>
    <pivotField showAll="0">
      <items count="3">
        <item x="0"/>
        <item x="1"/>
        <item t="default"/>
      </items>
    </pivotField>
    <pivotField showAll="0"/>
    <pivotField showAll="0"/>
    <pivotField dataField="1" showAll="0"/>
  </pivotFields>
  <rowFields count="1">
    <field x="2"/>
  </rowFields>
  <rowItems count="5">
    <i>
      <x/>
    </i>
    <i>
      <x v="1"/>
    </i>
    <i>
      <x v="2"/>
    </i>
    <i>
      <x v="3"/>
    </i>
    <i t="grand">
      <x/>
    </i>
  </rowItems>
  <colItems count="1">
    <i/>
  </colItems>
  <dataFields count="1">
    <dataField name="Sum of Total_Cost" fld="7"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13F929-C20D-4D1B-8675-A769CB73636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9" firstHeaderRow="1" firstDataRow="2" firstDataCol="1"/>
  <pivotFields count="8">
    <pivotField showAll="0"/>
    <pivotField axis="axisRow" showAll="0">
      <items count="5">
        <item x="0"/>
        <item x="1"/>
        <item x="3"/>
        <item x="2"/>
        <item t="default"/>
      </items>
    </pivotField>
    <pivotField showAll="0">
      <items count="5">
        <item x="1"/>
        <item x="2"/>
        <item x="3"/>
        <item x="0"/>
        <item t="default"/>
      </items>
    </pivotField>
    <pivotField showAll="0"/>
    <pivotField axis="axisCol" showAll="0">
      <items count="3">
        <item x="0"/>
        <item x="1"/>
        <item t="default"/>
      </items>
    </pivotField>
    <pivotField showAll="0"/>
    <pivotField showAll="0"/>
    <pivotField dataField="1" showAll="0"/>
  </pivotFields>
  <rowFields count="1">
    <field x="1"/>
  </rowFields>
  <rowItems count="5">
    <i>
      <x/>
    </i>
    <i>
      <x v="1"/>
    </i>
    <i>
      <x v="2"/>
    </i>
    <i>
      <x v="3"/>
    </i>
    <i t="grand">
      <x/>
    </i>
  </rowItems>
  <colFields count="1">
    <field x="4"/>
  </colFields>
  <colItems count="3">
    <i>
      <x/>
    </i>
    <i>
      <x v="1"/>
    </i>
    <i t="grand">
      <x/>
    </i>
  </colItems>
  <dataFields count="1">
    <dataField name="Sum of Total_Cost" fld="7"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8" format="4" series="1">
      <pivotArea type="data" outline="0" fieldPosition="0">
        <references count="2">
          <reference field="4294967294" count="1" selected="0">
            <x v="0"/>
          </reference>
          <reference field="4" count="1" selected="0">
            <x v="0"/>
          </reference>
        </references>
      </pivotArea>
    </chartFormat>
    <chartFormat chart="8" format="5"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E8D280C-BA99-4D11-BE9D-D0638ADE8E3D}" sourceName="Department">
  <pivotTables>
    <pivotTable tabId="6" name="PivotTable1"/>
    <pivotTable tabId="9" name="PivotTable4"/>
    <pivotTable tabId="8" name="PivotTable3"/>
    <pivotTable tabId="7" name="PivotTable2"/>
  </pivotTables>
  <data>
    <tabular pivotCacheId="1680488737">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 xr10:uid="{88B673C7-7201-4DD4-8931-5DBD0938473A}" sourceName="Doctor">
  <pivotTables>
    <pivotTable tabId="8" name="PivotTable3"/>
    <pivotTable tabId="9" name="PivotTable4"/>
    <pivotTable tabId="6" name="PivotTable1"/>
    <pivotTable tabId="7" name="PivotTable2"/>
  </pivotTables>
  <data>
    <tabular pivotCacheId="1680488737">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Type" xr10:uid="{AC33F720-D570-438F-A5B0-313A02FC548E}" sourceName="Admission_Type">
  <pivotTables>
    <pivotTable tabId="9" name="PivotTable4"/>
    <pivotTable tabId="6" name="PivotTable1"/>
    <pivotTable tabId="8" name="PivotTable3"/>
    <pivotTable tabId="7" name="PivotTable2"/>
  </pivotTables>
  <data>
    <tabular pivotCacheId="168048873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60A332B-3034-4D1C-A5B1-6A225ACFF19D}" cache="Slicer_Department" caption="Depart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octor 1" xr10:uid="{39E39AFB-4285-4B7F-9D49-E0151C1F5C60}" cache="Slicer_Doctor" caption="Docto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dmission_Type 1" xr10:uid="{A1AD1883-DABD-405E-89D6-7CBCD61E932A}" cache="Slicer_Admission_Type" caption="Admission_Typ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D1FA21CF-0140-4561-8C7B-8A97028EAD81}" cache="Slicer_Department" caption="Department" rowHeight="234950"/>
  <slicer name="Doctor" xr10:uid="{A13A2DD0-327F-4643-B137-0A3DF1A32B47}" cache="Slicer_Doctor" caption="Doctor" rowHeight="234950"/>
  <slicer name="Admission_Type" xr10:uid="{49A5D77E-15A4-42B6-AFE5-2A7CF7E2FCA1}" cache="Slicer_Admission_Type" caption="Admission_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BF7E12-41A3-442D-91EC-9B54E107C117}" name="Table1" displayName="Table1" ref="A1:F12" totalsRowShown="0" headerRowDxfId="24" dataDxfId="23">
  <autoFilter ref="A1:F12" xr:uid="{04BF7E12-41A3-442D-91EC-9B54E107C117}"/>
  <tableColumns count="6">
    <tableColumn id="1" xr3:uid="{B4C2CE2D-38B1-4BC4-8CC6-D0424EFC8E0E}" name="Candidate" dataDxfId="22"/>
    <tableColumn id="2" xr3:uid="{476D0A8B-1970-492A-B1DB-D4906A34D56E}" name="Role" dataDxfId="21"/>
    <tableColumn id="3" xr3:uid="{1C6A74F2-B348-46AF-90F0-289B7E303F95}" name="Department" dataDxfId="20"/>
    <tableColumn id="4" xr3:uid="{51FEDB4E-DC1D-444C-A9EE-4E0838C4ED16}" name="Experience (yrs)" dataDxfId="19"/>
    <tableColumn id="5" xr3:uid="{4388A55A-E2D4-4A1E-BA37-5B2A9C4B4AFD}" name="Salary_Expected" dataDxfId="18"/>
    <tableColumn id="6" xr3:uid="{98F710FD-E136-44DB-8B31-45F7784BA4A3}" name="Status" dataDxfId="17"/>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0AA78A-A8C3-4D6E-8EAF-52096A71E797}" name="Table2" displayName="Table2" ref="A1:E11" totalsRowShown="0" headerRowDxfId="16" dataDxfId="15">
  <autoFilter ref="A1:E11" xr:uid="{E50AA78A-A8C3-4D6E-8EAF-52096A71E797}"/>
  <tableColumns count="5">
    <tableColumn id="1" xr3:uid="{B86F9555-62F3-46D4-BB9B-E45BDEAD7674}" name="Patient ID" dataDxfId="14"/>
    <tableColumn id="2" xr3:uid="{C06F64DD-476D-4C98-8B12-19F970987CC1}" name="Arrival Time" dataDxfId="13"/>
    <tableColumn id="3" xr3:uid="{AECE2851-0DB5-4D9A-AB8F-5F93DD0541BC}" name="Called Time" dataDxfId="12"/>
    <tableColumn id="4" xr3:uid="{7C2CCECB-8E51-49A6-B6C2-3C993999160E}" name="Waiting Time (mins)" dataDxfId="11"/>
    <tableColumn id="5" xr3:uid="{02859C5D-9D88-4CA1-9892-DE1E20F9751C}" name="Service Rating" dataDxfId="10">
      <calculatedColumnFormula>IF(Table2[[#This Row],[Waiting Time (mins)]]&lt;15,"Good",IF(Table2[[#This Row],[Waiting Time (mins)]]&lt;30,"Average","poor"))</calculatedColumnFormula>
    </tableColumn>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263910E-16ED-4B71-BE04-0F4F9D1F950C}" name="Table3" displayName="Table3" ref="A2:H22" totalsRowShown="0" headerRowDxfId="9" dataDxfId="8">
  <autoFilter ref="A2:H22" xr:uid="{5263910E-16ED-4B71-BE04-0F4F9D1F950C}"/>
  <tableColumns count="8">
    <tableColumn id="1" xr3:uid="{F84B786D-9058-46D3-9C29-9E61903C7C71}" name="Patient_ID" dataDxfId="7"/>
    <tableColumn id="2" xr3:uid="{93B16B32-612B-45E2-B0C9-4E98DECA8B9B}" name="Department" dataDxfId="6"/>
    <tableColumn id="3" xr3:uid="{F2B1AA20-5735-49FC-BB53-2E109E97B1C5}" name="Doctor" dataDxfId="5"/>
    <tableColumn id="4" xr3:uid="{27A37C44-5646-431C-A42D-15F79C986C2C}" name="Treatment" dataDxfId="4"/>
    <tableColumn id="5" xr3:uid="{52D32FC5-1356-44A2-9FDE-99CAFBD25C0B}" name="Admission_Type" dataDxfId="3"/>
    <tableColumn id="6" xr3:uid="{6C322719-E749-4AB9-BA47-092BACCC2D8F}" name="Days" dataDxfId="2"/>
    <tableColumn id="7" xr3:uid="{16253D74-F9C6-493C-81AA-14946DE851CD}" name="Cost_per_Day" dataDxfId="1"/>
    <tableColumn id="8" xr3:uid="{E9357A3B-F08D-409E-B963-773A61DA3C9F}" name="Total_Cost" dataDxfId="0"/>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CFB42-5AC3-42F8-81F4-0F3347F2B205}">
  <dimension ref="A1:M26"/>
  <sheetViews>
    <sheetView zoomScaleNormal="100" workbookViewId="0">
      <selection activeCell="J22" sqref="J22"/>
    </sheetView>
  </sheetViews>
  <sheetFormatPr defaultRowHeight="14.4" x14ac:dyDescent="0.3"/>
  <cols>
    <col min="1" max="1" width="11.44140625" customWidth="1"/>
    <col min="3" max="3" width="13" customWidth="1"/>
    <col min="4" max="4" width="16.21875" customWidth="1"/>
    <col min="5" max="5" width="16.6640625" customWidth="1"/>
    <col min="6" max="6" width="11.21875" customWidth="1"/>
    <col min="10" max="10" width="12.44140625" customWidth="1"/>
  </cols>
  <sheetData>
    <row r="1" spans="1:13" x14ac:dyDescent="0.3">
      <c r="A1" s="2" t="s">
        <v>0</v>
      </c>
      <c r="B1" s="2" t="s">
        <v>1</v>
      </c>
      <c r="C1" s="2" t="s">
        <v>2</v>
      </c>
      <c r="D1" s="2" t="s">
        <v>3</v>
      </c>
      <c r="E1" s="2" t="s">
        <v>4</v>
      </c>
      <c r="F1" s="2" t="s">
        <v>5</v>
      </c>
    </row>
    <row r="2" spans="1:13" x14ac:dyDescent="0.3">
      <c r="A2" s="1" t="s">
        <v>6</v>
      </c>
      <c r="B2" s="1" t="s">
        <v>7</v>
      </c>
      <c r="C2" s="1" t="s">
        <v>8</v>
      </c>
      <c r="D2" s="1">
        <v>2</v>
      </c>
      <c r="E2" s="1">
        <v>45000</v>
      </c>
      <c r="F2" s="1" t="s">
        <v>9</v>
      </c>
    </row>
    <row r="3" spans="1:13" x14ac:dyDescent="0.3">
      <c r="A3" s="1" t="s">
        <v>10</v>
      </c>
      <c r="B3" s="1" t="s">
        <v>7</v>
      </c>
      <c r="C3" s="1" t="s">
        <v>8</v>
      </c>
      <c r="D3" s="1">
        <v>4</v>
      </c>
      <c r="E3" s="1">
        <v>65000</v>
      </c>
      <c r="F3" s="1" t="s">
        <v>11</v>
      </c>
    </row>
    <row r="4" spans="1:13" x14ac:dyDescent="0.3">
      <c r="A4" s="1" t="s">
        <v>12</v>
      </c>
      <c r="B4" s="1" t="s">
        <v>13</v>
      </c>
      <c r="C4" s="1" t="s">
        <v>8</v>
      </c>
      <c r="D4" s="1">
        <v>8</v>
      </c>
      <c r="E4" s="1">
        <v>120000</v>
      </c>
      <c r="F4" s="1" t="s">
        <v>9</v>
      </c>
    </row>
    <row r="5" spans="1:13" x14ac:dyDescent="0.3">
      <c r="A5" s="1" t="s">
        <v>14</v>
      </c>
      <c r="B5" s="1" t="s">
        <v>7</v>
      </c>
      <c r="C5" s="1" t="s">
        <v>15</v>
      </c>
      <c r="D5" s="1">
        <v>3</v>
      </c>
      <c r="E5" s="1">
        <v>50000</v>
      </c>
      <c r="F5" s="1" t="s">
        <v>11</v>
      </c>
    </row>
    <row r="6" spans="1:13" x14ac:dyDescent="0.3">
      <c r="A6" s="1" t="s">
        <v>16</v>
      </c>
      <c r="B6" s="1" t="s">
        <v>13</v>
      </c>
      <c r="C6" s="1" t="s">
        <v>15</v>
      </c>
      <c r="D6" s="1">
        <v>10</v>
      </c>
      <c r="E6" s="1">
        <v>140000</v>
      </c>
      <c r="F6" s="1" t="s">
        <v>11</v>
      </c>
    </row>
    <row r="7" spans="1:13" x14ac:dyDescent="0.3">
      <c r="A7" s="1" t="s">
        <v>17</v>
      </c>
      <c r="B7" s="1" t="s">
        <v>7</v>
      </c>
      <c r="C7" s="1" t="s">
        <v>8</v>
      </c>
      <c r="D7" s="1">
        <v>1</v>
      </c>
      <c r="E7" s="1">
        <v>35000</v>
      </c>
      <c r="F7" s="1" t="s">
        <v>18</v>
      </c>
    </row>
    <row r="8" spans="1:13" x14ac:dyDescent="0.3">
      <c r="A8" s="1" t="s">
        <v>19</v>
      </c>
      <c r="B8" s="1" t="s">
        <v>7</v>
      </c>
      <c r="C8" s="1" t="s">
        <v>15</v>
      </c>
      <c r="D8" s="1">
        <v>5</v>
      </c>
      <c r="E8" s="1">
        <v>70000</v>
      </c>
      <c r="F8" s="1" t="s">
        <v>9</v>
      </c>
    </row>
    <row r="9" spans="1:13" x14ac:dyDescent="0.3">
      <c r="A9" s="1" t="s">
        <v>20</v>
      </c>
      <c r="B9" s="1" t="s">
        <v>13</v>
      </c>
      <c r="C9" s="1" t="s">
        <v>21</v>
      </c>
      <c r="D9" s="1">
        <v>7</v>
      </c>
      <c r="E9" s="1">
        <v>110000</v>
      </c>
      <c r="F9" s="1" t="s">
        <v>11</v>
      </c>
    </row>
    <row r="10" spans="1:13" x14ac:dyDescent="0.3">
      <c r="A10" s="1" t="s">
        <v>22</v>
      </c>
      <c r="B10" s="1" t="s">
        <v>7</v>
      </c>
      <c r="C10" s="1" t="s">
        <v>21</v>
      </c>
      <c r="D10" s="1">
        <v>2</v>
      </c>
      <c r="E10" s="1">
        <v>40000</v>
      </c>
      <c r="F10" s="1" t="s">
        <v>11</v>
      </c>
    </row>
    <row r="11" spans="1:13" x14ac:dyDescent="0.3">
      <c r="A11" s="1" t="s">
        <v>23</v>
      </c>
      <c r="B11" s="1" t="s">
        <v>13</v>
      </c>
      <c r="C11" s="1" t="s">
        <v>8</v>
      </c>
      <c r="D11" s="1">
        <v>9</v>
      </c>
      <c r="E11" s="1">
        <v>130000</v>
      </c>
      <c r="F11" s="1" t="s">
        <v>11</v>
      </c>
    </row>
    <row r="12" spans="1:13" x14ac:dyDescent="0.3">
      <c r="A12" s="1"/>
      <c r="B12" s="1"/>
      <c r="C12" s="1"/>
      <c r="D12" s="1"/>
      <c r="E12" s="1"/>
      <c r="F12" s="1"/>
    </row>
    <row r="13" spans="1:13" ht="15.6" x14ac:dyDescent="0.3">
      <c r="A13" s="7" t="s">
        <v>25</v>
      </c>
      <c r="B13" s="8"/>
      <c r="C13" s="8"/>
      <c r="D13" s="8"/>
      <c r="E13" s="8"/>
      <c r="F13" s="8"/>
      <c r="G13" s="8"/>
      <c r="H13" s="7" t="s">
        <v>29</v>
      </c>
      <c r="I13" s="8"/>
      <c r="J13" s="8"/>
      <c r="K13" s="8"/>
      <c r="L13" s="8"/>
      <c r="M13" s="8"/>
    </row>
    <row r="14" spans="1:13" ht="15.6" x14ac:dyDescent="0.3">
      <c r="A14" s="7" t="s">
        <v>24</v>
      </c>
      <c r="B14" s="8"/>
      <c r="C14" s="8"/>
      <c r="D14" s="8"/>
      <c r="E14" s="8"/>
      <c r="F14" s="8"/>
      <c r="G14" s="8"/>
      <c r="H14" s="6" t="s">
        <v>30</v>
      </c>
      <c r="I14" s="8"/>
      <c r="J14" s="8"/>
      <c r="K14" s="8"/>
      <c r="L14" s="8"/>
      <c r="M14" s="8"/>
    </row>
    <row r="15" spans="1:13" ht="15.6" x14ac:dyDescent="0.3">
      <c r="A15" s="9" t="s">
        <v>8</v>
      </c>
      <c r="B15" s="10" t="s">
        <v>11</v>
      </c>
      <c r="C15" s="7">
        <f>SUMIFS(Table1[Salary_Expected],Table1[Department],$A$15,Table1[Status],$B$15)</f>
        <v>195000</v>
      </c>
      <c r="D15" s="8"/>
      <c r="E15" s="8"/>
      <c r="F15" s="8"/>
      <c r="G15" s="8"/>
      <c r="H15" s="9" t="s">
        <v>8</v>
      </c>
      <c r="I15" s="9" t="s">
        <v>7</v>
      </c>
      <c r="J15" s="4" t="s">
        <v>9</v>
      </c>
      <c r="K15" s="7">
        <f>COUNTIFS(C2:C11,$C$2,B2:B11,$I$15,F2:F11,$J$15)</f>
        <v>1</v>
      </c>
      <c r="L15" s="8"/>
      <c r="M15" s="8"/>
    </row>
    <row r="16" spans="1:13" ht="15.6" x14ac:dyDescent="0.3">
      <c r="A16" s="8"/>
      <c r="B16" s="8"/>
      <c r="C16" s="8"/>
      <c r="D16" s="8"/>
      <c r="E16" s="8"/>
      <c r="F16" s="8"/>
      <c r="G16" s="8"/>
      <c r="H16" s="8"/>
      <c r="I16" s="8"/>
      <c r="J16" s="8"/>
      <c r="K16" s="8"/>
      <c r="L16" s="8"/>
      <c r="M16" s="8"/>
    </row>
    <row r="17" spans="1:13" ht="15.6" x14ac:dyDescent="0.3">
      <c r="A17" s="7" t="s">
        <v>26</v>
      </c>
      <c r="B17" s="8"/>
      <c r="C17" s="8"/>
      <c r="D17" s="8"/>
      <c r="E17" s="8"/>
      <c r="F17" s="8"/>
      <c r="G17" s="8"/>
      <c r="H17" s="7" t="s">
        <v>31</v>
      </c>
      <c r="I17" s="8"/>
      <c r="J17" s="8"/>
      <c r="K17" s="8"/>
      <c r="L17" s="8"/>
      <c r="M17" s="8"/>
    </row>
    <row r="18" spans="1:13" ht="15.6" x14ac:dyDescent="0.3">
      <c r="A18" s="9" t="s">
        <v>7</v>
      </c>
      <c r="B18" s="8" t="s">
        <v>36</v>
      </c>
      <c r="C18" s="7">
        <f>SUMIFS(E2:E11,B2:B11,$A$18,C2:C11,$B$18)</f>
        <v>120000</v>
      </c>
      <c r="D18" s="8"/>
      <c r="E18" s="8"/>
      <c r="F18" s="8"/>
      <c r="G18" s="8"/>
      <c r="H18" s="7" t="s">
        <v>38</v>
      </c>
      <c r="I18" s="8"/>
      <c r="J18" s="7">
        <f>COUNTIFS(E2:E11,$H$18)</f>
        <v>4</v>
      </c>
      <c r="K18" s="8"/>
      <c r="L18" s="8"/>
      <c r="M18" s="8"/>
    </row>
    <row r="19" spans="1:13" ht="15.6" x14ac:dyDescent="0.3">
      <c r="A19" s="8"/>
      <c r="B19" s="8"/>
      <c r="C19" s="8"/>
      <c r="D19" s="8"/>
      <c r="E19" s="8"/>
      <c r="F19" s="8"/>
      <c r="G19" s="8"/>
      <c r="H19" s="8"/>
      <c r="I19" s="8"/>
      <c r="J19" s="8"/>
      <c r="K19" s="8"/>
      <c r="L19" s="8"/>
      <c r="M19" s="8"/>
    </row>
    <row r="20" spans="1:13" ht="15.6" x14ac:dyDescent="0.3">
      <c r="A20" s="7" t="s">
        <v>27</v>
      </c>
      <c r="B20" s="8"/>
      <c r="C20" s="8"/>
      <c r="D20" s="8"/>
      <c r="E20" s="8"/>
      <c r="F20" s="8"/>
      <c r="G20" s="8"/>
      <c r="H20" s="7" t="s">
        <v>32</v>
      </c>
      <c r="I20" s="8"/>
      <c r="J20" s="8"/>
      <c r="K20" s="8"/>
      <c r="L20" s="8"/>
      <c r="M20" s="8"/>
    </row>
    <row r="21" spans="1:13" ht="15.6" x14ac:dyDescent="0.3">
      <c r="A21" s="9" t="s">
        <v>13</v>
      </c>
      <c r="B21" s="8" t="s">
        <v>34</v>
      </c>
      <c r="C21" s="7">
        <f>SUMIFS(E2:E11,B2:B11,A21,D2:D11,B21)</f>
        <v>270000</v>
      </c>
      <c r="D21" s="8"/>
      <c r="E21" s="8"/>
      <c r="F21" s="8"/>
      <c r="G21" s="8"/>
      <c r="H21" s="4" t="s">
        <v>13</v>
      </c>
      <c r="I21" s="5" t="s">
        <v>11</v>
      </c>
      <c r="J21" s="7">
        <f>COUNTIFS(B2:B11,$H$21,F2:F11,$I$21)</f>
        <v>3</v>
      </c>
      <c r="K21" s="8"/>
      <c r="L21" s="8"/>
      <c r="M21" s="8"/>
    </row>
    <row r="22" spans="1:13" ht="15.6" x14ac:dyDescent="0.3">
      <c r="A22" s="8"/>
      <c r="B22" s="8"/>
      <c r="C22" s="8"/>
      <c r="D22" s="8"/>
      <c r="E22" s="8"/>
      <c r="F22" s="8"/>
      <c r="G22" s="8"/>
      <c r="H22" s="7"/>
      <c r="I22" s="8"/>
      <c r="J22" s="8"/>
      <c r="K22" s="8"/>
      <c r="L22" s="8"/>
      <c r="M22" s="8"/>
    </row>
    <row r="23" spans="1:13" ht="15.6" x14ac:dyDescent="0.3">
      <c r="A23" s="7" t="s">
        <v>28</v>
      </c>
      <c r="B23" s="8"/>
      <c r="C23" s="8"/>
      <c r="D23" s="8"/>
      <c r="E23" s="8"/>
      <c r="F23" s="8"/>
      <c r="G23" s="8"/>
      <c r="H23" s="7" t="s">
        <v>33</v>
      </c>
      <c r="I23" s="8"/>
      <c r="J23" s="8"/>
      <c r="K23" s="8"/>
      <c r="L23" s="8"/>
      <c r="M23" s="8"/>
    </row>
    <row r="24" spans="1:13" ht="15.6" x14ac:dyDescent="0.3">
      <c r="A24" s="10" t="s">
        <v>11</v>
      </c>
      <c r="B24" s="8" t="s">
        <v>35</v>
      </c>
      <c r="C24" s="7">
        <f>SUMIFS(E2:E11,F2:F11,$A$24,E2:E11,$B$24)</f>
        <v>445000</v>
      </c>
      <c r="D24" s="8"/>
      <c r="E24" s="8"/>
      <c r="F24" s="8"/>
      <c r="G24" s="8"/>
      <c r="H24" s="4" t="s">
        <v>15</v>
      </c>
      <c r="I24" s="8" t="s">
        <v>37</v>
      </c>
      <c r="J24" s="7">
        <f>COUNTIFS(C2:C11,$H$24,D2:D11,$I$24)</f>
        <v>2</v>
      </c>
      <c r="K24" s="8"/>
      <c r="L24" s="8"/>
      <c r="M24" s="8"/>
    </row>
    <row r="25" spans="1:13" ht="15.6" x14ac:dyDescent="0.3">
      <c r="A25" s="8"/>
      <c r="B25" s="8"/>
      <c r="C25" s="8"/>
      <c r="D25" s="8"/>
      <c r="E25" s="8"/>
      <c r="F25" s="8"/>
      <c r="G25" s="8"/>
      <c r="H25" s="7"/>
      <c r="I25" s="8"/>
      <c r="J25" s="8"/>
      <c r="K25" s="8"/>
      <c r="L25" s="8"/>
      <c r="M25" s="8"/>
    </row>
    <row r="26" spans="1:13" x14ac:dyDescent="0.3">
      <c r="H26" s="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8CD90-1911-498C-BEA3-865298E97E8F}">
  <dimension ref="A1:E16"/>
  <sheetViews>
    <sheetView zoomScaleNormal="100" workbookViewId="0">
      <selection activeCell="H8" sqref="H8"/>
    </sheetView>
  </sheetViews>
  <sheetFormatPr defaultRowHeight="14.4" x14ac:dyDescent="0.3"/>
  <cols>
    <col min="1" max="1" width="11.109375" customWidth="1"/>
    <col min="2" max="2" width="12.88671875" customWidth="1"/>
    <col min="3" max="3" width="12.5546875" customWidth="1"/>
    <col min="4" max="4" width="19.6640625" customWidth="1"/>
    <col min="5" max="5" width="14.6640625" customWidth="1"/>
  </cols>
  <sheetData>
    <row r="1" spans="1:5" ht="43.2" x14ac:dyDescent="0.3">
      <c r="A1" s="2" t="s">
        <v>39</v>
      </c>
      <c r="B1" s="2" t="s">
        <v>40</v>
      </c>
      <c r="C1" s="2" t="s">
        <v>41</v>
      </c>
      <c r="D1" s="2" t="s">
        <v>42</v>
      </c>
      <c r="E1" s="2" t="s">
        <v>43</v>
      </c>
    </row>
    <row r="2" spans="1:5" x14ac:dyDescent="0.3">
      <c r="A2" s="11" t="s">
        <v>44</v>
      </c>
      <c r="B2" s="12">
        <v>0.375</v>
      </c>
      <c r="C2" s="12">
        <v>0.38055555555555554</v>
      </c>
      <c r="D2" s="11">
        <v>8</v>
      </c>
      <c r="E2" s="11" t="str">
        <f>IF(Table2[[#This Row],[Waiting Time (mins)]]&lt;15,"Good",IF(Table2[[#This Row],[Waiting Time (mins)]]&lt;30,"Average","poor"))</f>
        <v>Good</v>
      </c>
    </row>
    <row r="3" spans="1:5" x14ac:dyDescent="0.3">
      <c r="A3" s="11" t="s">
        <v>45</v>
      </c>
      <c r="B3" s="12">
        <v>0.37847222222222221</v>
      </c>
      <c r="C3" s="12">
        <v>0.39027777777777778</v>
      </c>
      <c r="D3" s="11">
        <v>17</v>
      </c>
      <c r="E3" s="11" t="str">
        <f>IF(Table2[[#This Row],[Waiting Time (mins)]]&lt;15,"Good",IF(Table2[[#This Row],[Waiting Time (mins)]]&lt;30,"Average","poor"))</f>
        <v>Average</v>
      </c>
    </row>
    <row r="4" spans="1:5" x14ac:dyDescent="0.3">
      <c r="A4" s="11" t="s">
        <v>46</v>
      </c>
      <c r="B4" s="12">
        <v>0.38194444444444442</v>
      </c>
      <c r="C4" s="12">
        <v>0.40625</v>
      </c>
      <c r="D4" s="11">
        <v>35</v>
      </c>
      <c r="E4" s="11" t="str">
        <f>IF(Table2[[#This Row],[Waiting Time (mins)]]&lt;15,"Good",IF(Table2[[#This Row],[Waiting Time (mins)]]&lt;30,"Average","poor"))</f>
        <v>poor</v>
      </c>
    </row>
    <row r="5" spans="1:5" x14ac:dyDescent="0.3">
      <c r="A5" s="11" t="s">
        <v>47</v>
      </c>
      <c r="B5" s="12">
        <v>0.3888888888888889</v>
      </c>
      <c r="C5" s="12">
        <v>0.39652777777777776</v>
      </c>
      <c r="D5" s="11">
        <v>11</v>
      </c>
      <c r="E5" s="11" t="str">
        <f>IF(Table2[[#This Row],[Waiting Time (mins)]]&lt;15,"Good",IF(Table2[[#This Row],[Waiting Time (mins)]]&lt;30,"Average","poor"))</f>
        <v>Good</v>
      </c>
    </row>
    <row r="6" spans="1:5" x14ac:dyDescent="0.3">
      <c r="A6" s="11" t="s">
        <v>48</v>
      </c>
      <c r="B6" s="12">
        <v>0.3923611111111111</v>
      </c>
      <c r="C6" s="12">
        <v>0.41319444444444442</v>
      </c>
      <c r="D6" s="11">
        <v>30</v>
      </c>
      <c r="E6" s="11" t="str">
        <f>IF(Table2[[#This Row],[Waiting Time (mins)]]&lt;15,"Good",IF(Table2[[#This Row],[Waiting Time (mins)]]&lt;30,"Average","poor"))</f>
        <v>poor</v>
      </c>
    </row>
    <row r="7" spans="1:5" x14ac:dyDescent="0.3">
      <c r="A7" s="11" t="s">
        <v>49</v>
      </c>
      <c r="B7" s="12">
        <v>0.39583333333333331</v>
      </c>
      <c r="C7" s="12">
        <v>0.40555555555555556</v>
      </c>
      <c r="D7" s="11">
        <v>14</v>
      </c>
      <c r="E7" s="11" t="str">
        <f>IF(Table2[[#This Row],[Waiting Time (mins)]]&lt;15,"Good",IF(Table2[[#This Row],[Waiting Time (mins)]]&lt;30,"Average","poor"))</f>
        <v>Good</v>
      </c>
    </row>
    <row r="8" spans="1:5" x14ac:dyDescent="0.3">
      <c r="A8" s="11" t="s">
        <v>50</v>
      </c>
      <c r="B8" s="12">
        <v>0.39930555555555558</v>
      </c>
      <c r="C8" s="12">
        <v>0.41666666666666669</v>
      </c>
      <c r="D8" s="11">
        <v>25</v>
      </c>
      <c r="E8" s="11" t="str">
        <f>IF(Table2[[#This Row],[Waiting Time (mins)]]&lt;15,"Good",IF(Table2[[#This Row],[Waiting Time (mins)]]&lt;30,"Average","poor"))</f>
        <v>Average</v>
      </c>
    </row>
    <row r="9" spans="1:5" x14ac:dyDescent="0.3">
      <c r="A9" s="11" t="s">
        <v>51</v>
      </c>
      <c r="B9" s="12">
        <v>0.40277777777777779</v>
      </c>
      <c r="C9" s="12">
        <v>0.43055555555555558</v>
      </c>
      <c r="D9" s="11">
        <v>40</v>
      </c>
      <c r="E9" s="11" t="str">
        <f>IF(Table2[[#This Row],[Waiting Time (mins)]]&lt;15,"Good",IF(Table2[[#This Row],[Waiting Time (mins)]]&lt;30,"Average","poor"))</f>
        <v>poor</v>
      </c>
    </row>
    <row r="10" spans="1:5" x14ac:dyDescent="0.3">
      <c r="A10" s="11" t="s">
        <v>52</v>
      </c>
      <c r="B10" s="12">
        <v>0.40625</v>
      </c>
      <c r="C10" s="12">
        <v>0.4201388888888889</v>
      </c>
      <c r="D10" s="11">
        <v>20</v>
      </c>
      <c r="E10" s="11" t="str">
        <f>IF(Table2[[#This Row],[Waiting Time (mins)]]&lt;15,"Good",IF(Table2[[#This Row],[Waiting Time (mins)]]&lt;30,"Average","poor"))</f>
        <v>Average</v>
      </c>
    </row>
    <row r="11" spans="1:5" x14ac:dyDescent="0.3">
      <c r="A11" s="11" t="s">
        <v>53</v>
      </c>
      <c r="B11" s="12">
        <v>0.40972222222222221</v>
      </c>
      <c r="C11" s="12">
        <v>0.41597222222222224</v>
      </c>
      <c r="D11" s="11">
        <v>9</v>
      </c>
      <c r="E11" s="11" t="str">
        <f>IF(Table2[[#This Row],[Waiting Time (mins)]]&lt;15,"Good",IF(Table2[[#This Row],[Waiting Time (mins)]]&lt;30,"Average","poor"))</f>
        <v>Good</v>
      </c>
    </row>
    <row r="13" spans="1:5" x14ac:dyDescent="0.3">
      <c r="A13" s="18" t="s">
        <v>54</v>
      </c>
      <c r="B13" s="18"/>
      <c r="C13" s="18"/>
    </row>
    <row r="14" spans="1:5" x14ac:dyDescent="0.3">
      <c r="A14" t="s">
        <v>55</v>
      </c>
      <c r="B14">
        <f>COUNTIF(Table2[Service Rating],A14)</f>
        <v>4</v>
      </c>
    </row>
    <row r="15" spans="1:5" x14ac:dyDescent="0.3">
      <c r="A15" t="s">
        <v>56</v>
      </c>
      <c r="B15">
        <f>COUNTIF(Table2[Service Rating],A15)</f>
        <v>3</v>
      </c>
    </row>
    <row r="16" spans="1:5" x14ac:dyDescent="0.3">
      <c r="A16" t="s">
        <v>57</v>
      </c>
      <c r="B16">
        <f>COUNTIF(Table2[Service Rating],A16)</f>
        <v>3</v>
      </c>
    </row>
  </sheetData>
  <mergeCells count="1">
    <mergeCell ref="A13:C13"/>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35F04-99DF-4697-A072-1809C0C0AB4C}">
  <dimension ref="A1"/>
  <sheetViews>
    <sheetView zoomScale="145" zoomScaleNormal="145" workbookViewId="0">
      <selection activeCell="E11" sqref="E11"/>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85F10-722A-4C53-8B8F-86EE2234E2F9}">
  <dimension ref="A1:M22"/>
  <sheetViews>
    <sheetView zoomScale="85" zoomScaleNormal="85" workbookViewId="0">
      <selection activeCell="F3" sqref="F3:F22"/>
    </sheetView>
  </sheetViews>
  <sheetFormatPr defaultRowHeight="14.4" x14ac:dyDescent="0.3"/>
  <cols>
    <col min="1" max="1" width="15" style="13" customWidth="1"/>
    <col min="2" max="2" width="16.109375" style="13" customWidth="1"/>
    <col min="3" max="3" width="10.6640625" style="13" customWidth="1"/>
    <col min="4" max="4" width="14.5546875" style="13" customWidth="1"/>
    <col min="5" max="5" width="21.44140625" style="13" customWidth="1"/>
    <col min="6" max="6" width="8.88671875" style="13"/>
    <col min="7" max="7" width="19" style="13" customWidth="1"/>
    <col min="8" max="8" width="17.77734375" style="13" customWidth="1"/>
    <col min="9" max="16384" width="8.88671875" style="13"/>
  </cols>
  <sheetData>
    <row r="1" spans="1:13" x14ac:dyDescent="0.3">
      <c r="A1" s="19" t="s">
        <v>58</v>
      </c>
      <c r="B1" s="19"/>
      <c r="C1" s="19"/>
      <c r="D1" s="19"/>
      <c r="E1" s="19"/>
      <c r="F1" s="19"/>
      <c r="G1" s="19"/>
      <c r="H1" s="19"/>
      <c r="I1" s="19"/>
      <c r="J1" s="19"/>
      <c r="K1" s="19"/>
      <c r="L1" s="19"/>
      <c r="M1" s="19"/>
    </row>
    <row r="2" spans="1:13" x14ac:dyDescent="0.3">
      <c r="A2" s="2" t="s">
        <v>59</v>
      </c>
      <c r="B2" s="2" t="s">
        <v>2</v>
      </c>
      <c r="C2" s="2" t="s">
        <v>60</v>
      </c>
      <c r="D2" s="2" t="s">
        <v>61</v>
      </c>
      <c r="E2" s="2" t="s">
        <v>62</v>
      </c>
      <c r="F2" s="2" t="s">
        <v>63</v>
      </c>
      <c r="G2" s="2" t="s">
        <v>64</v>
      </c>
      <c r="H2" s="2" t="s">
        <v>65</v>
      </c>
    </row>
    <row r="3" spans="1:13" x14ac:dyDescent="0.3">
      <c r="A3" s="11" t="s">
        <v>44</v>
      </c>
      <c r="B3" s="11" t="s">
        <v>66</v>
      </c>
      <c r="C3" s="11" t="s">
        <v>67</v>
      </c>
      <c r="D3" s="11" t="s">
        <v>68</v>
      </c>
      <c r="E3" s="11" t="s">
        <v>69</v>
      </c>
      <c r="F3" s="11">
        <v>5</v>
      </c>
      <c r="G3" s="11">
        <v>12000</v>
      </c>
      <c r="H3" s="11">
        <v>60000</v>
      </c>
    </row>
    <row r="4" spans="1:13" x14ac:dyDescent="0.3">
      <c r="A4" s="11" t="s">
        <v>45</v>
      </c>
      <c r="B4" s="11" t="s">
        <v>70</v>
      </c>
      <c r="C4" s="11" t="s">
        <v>71</v>
      </c>
      <c r="D4" s="11" t="s">
        <v>72</v>
      </c>
      <c r="E4" s="11" t="s">
        <v>69</v>
      </c>
      <c r="F4" s="11">
        <v>7</v>
      </c>
      <c r="G4" s="11">
        <v>15000</v>
      </c>
      <c r="H4" s="11">
        <v>105000</v>
      </c>
    </row>
    <row r="5" spans="1:13" x14ac:dyDescent="0.3">
      <c r="A5" s="11" t="s">
        <v>46</v>
      </c>
      <c r="B5" s="11" t="s">
        <v>73</v>
      </c>
      <c r="C5" s="11" t="s">
        <v>74</v>
      </c>
      <c r="D5" s="11" t="s">
        <v>75</v>
      </c>
      <c r="E5" s="11" t="s">
        <v>76</v>
      </c>
      <c r="F5" s="11">
        <v>6</v>
      </c>
      <c r="G5" s="11">
        <v>9000</v>
      </c>
      <c r="H5" s="11">
        <v>54000</v>
      </c>
    </row>
    <row r="6" spans="1:13" ht="28.8" x14ac:dyDescent="0.3">
      <c r="A6" s="11" t="s">
        <v>47</v>
      </c>
      <c r="B6" s="11" t="s">
        <v>66</v>
      </c>
      <c r="C6" s="11" t="s">
        <v>67</v>
      </c>
      <c r="D6" s="11" t="s">
        <v>77</v>
      </c>
      <c r="E6" s="11" t="s">
        <v>76</v>
      </c>
      <c r="F6" s="11">
        <v>2</v>
      </c>
      <c r="G6" s="11">
        <v>8000</v>
      </c>
      <c r="H6" s="11">
        <v>16000</v>
      </c>
    </row>
    <row r="7" spans="1:13" ht="28.8" x14ac:dyDescent="0.3">
      <c r="A7" s="11" t="s">
        <v>48</v>
      </c>
      <c r="B7" s="11" t="s">
        <v>78</v>
      </c>
      <c r="C7" s="11" t="s">
        <v>79</v>
      </c>
      <c r="D7" s="11" t="s">
        <v>80</v>
      </c>
      <c r="E7" s="11" t="s">
        <v>76</v>
      </c>
      <c r="F7" s="11">
        <v>10</v>
      </c>
      <c r="G7" s="11">
        <v>11000</v>
      </c>
      <c r="H7" s="11">
        <v>110000</v>
      </c>
    </row>
    <row r="8" spans="1:13" ht="28.8" x14ac:dyDescent="0.3">
      <c r="A8" s="11" t="s">
        <v>49</v>
      </c>
      <c r="B8" s="11" t="s">
        <v>70</v>
      </c>
      <c r="C8" s="11" t="s">
        <v>71</v>
      </c>
      <c r="D8" s="11" t="s">
        <v>81</v>
      </c>
      <c r="E8" s="11" t="s">
        <v>76</v>
      </c>
      <c r="F8" s="11">
        <v>3</v>
      </c>
      <c r="G8" s="11">
        <v>14000</v>
      </c>
      <c r="H8" s="11">
        <v>42000</v>
      </c>
    </row>
    <row r="9" spans="1:13" x14ac:dyDescent="0.3">
      <c r="A9" s="11" t="s">
        <v>50</v>
      </c>
      <c r="B9" s="11" t="s">
        <v>73</v>
      </c>
      <c r="C9" s="11" t="s">
        <v>74</v>
      </c>
      <c r="D9" s="11" t="s">
        <v>82</v>
      </c>
      <c r="E9" s="11" t="s">
        <v>69</v>
      </c>
      <c r="F9" s="11">
        <v>4</v>
      </c>
      <c r="G9" s="11">
        <v>9500</v>
      </c>
      <c r="H9" s="11">
        <v>38000</v>
      </c>
    </row>
    <row r="10" spans="1:13" ht="28.8" x14ac:dyDescent="0.3">
      <c r="A10" s="11" t="s">
        <v>51</v>
      </c>
      <c r="B10" s="11" t="s">
        <v>66</v>
      </c>
      <c r="C10" s="11" t="s">
        <v>67</v>
      </c>
      <c r="D10" s="11" t="s">
        <v>83</v>
      </c>
      <c r="E10" s="11" t="s">
        <v>76</v>
      </c>
      <c r="F10" s="11">
        <v>8</v>
      </c>
      <c r="G10" s="11">
        <v>13000</v>
      </c>
      <c r="H10" s="11">
        <v>104000</v>
      </c>
    </row>
    <row r="11" spans="1:13" x14ac:dyDescent="0.3">
      <c r="A11" s="11" t="s">
        <v>52</v>
      </c>
      <c r="B11" s="11" t="s">
        <v>78</v>
      </c>
      <c r="C11" s="11" t="s">
        <v>79</v>
      </c>
      <c r="D11" s="11" t="s">
        <v>84</v>
      </c>
      <c r="E11" s="11" t="s">
        <v>76</v>
      </c>
      <c r="F11" s="11">
        <v>6</v>
      </c>
      <c r="G11" s="11">
        <v>11500</v>
      </c>
      <c r="H11" s="11">
        <v>69000</v>
      </c>
    </row>
    <row r="12" spans="1:13" x14ac:dyDescent="0.3">
      <c r="A12" s="11" t="s">
        <v>53</v>
      </c>
      <c r="B12" s="11" t="s">
        <v>70</v>
      </c>
      <c r="C12" s="11" t="s">
        <v>71</v>
      </c>
      <c r="D12" s="11" t="s">
        <v>85</v>
      </c>
      <c r="E12" s="11" t="s">
        <v>69</v>
      </c>
      <c r="F12" s="11">
        <v>2</v>
      </c>
      <c r="G12" s="11">
        <v>16000</v>
      </c>
      <c r="H12" s="11">
        <v>32000</v>
      </c>
    </row>
    <row r="13" spans="1:13" x14ac:dyDescent="0.3">
      <c r="A13" s="11" t="s">
        <v>86</v>
      </c>
      <c r="B13" s="11" t="s">
        <v>66</v>
      </c>
      <c r="C13" s="11" t="s">
        <v>67</v>
      </c>
      <c r="D13" s="11" t="s">
        <v>87</v>
      </c>
      <c r="E13" s="11" t="s">
        <v>76</v>
      </c>
      <c r="F13" s="11">
        <v>3</v>
      </c>
      <c r="G13" s="11">
        <v>10000</v>
      </c>
      <c r="H13" s="11">
        <v>30000</v>
      </c>
    </row>
    <row r="14" spans="1:13" x14ac:dyDescent="0.3">
      <c r="A14" s="11" t="s">
        <v>88</v>
      </c>
      <c r="B14" s="11" t="s">
        <v>73</v>
      </c>
      <c r="C14" s="11" t="s">
        <v>74</v>
      </c>
      <c r="D14" s="11" t="s">
        <v>89</v>
      </c>
      <c r="E14" s="11" t="s">
        <v>76</v>
      </c>
      <c r="F14" s="11">
        <v>7</v>
      </c>
      <c r="G14" s="11">
        <v>9200</v>
      </c>
      <c r="H14" s="11">
        <v>64400</v>
      </c>
    </row>
    <row r="15" spans="1:13" ht="28.8" x14ac:dyDescent="0.3">
      <c r="A15" s="11" t="s">
        <v>90</v>
      </c>
      <c r="B15" s="11" t="s">
        <v>78</v>
      </c>
      <c r="C15" s="11" t="s">
        <v>79</v>
      </c>
      <c r="D15" s="11" t="s">
        <v>91</v>
      </c>
      <c r="E15" s="11" t="s">
        <v>76</v>
      </c>
      <c r="F15" s="11">
        <v>12</v>
      </c>
      <c r="G15" s="11">
        <v>12000</v>
      </c>
      <c r="H15" s="11">
        <v>144000</v>
      </c>
    </row>
    <row r="16" spans="1:13" x14ac:dyDescent="0.3">
      <c r="A16" s="11" t="s">
        <v>92</v>
      </c>
      <c r="B16" s="11" t="s">
        <v>70</v>
      </c>
      <c r="C16" s="11" t="s">
        <v>71</v>
      </c>
      <c r="D16" s="11" t="s">
        <v>93</v>
      </c>
      <c r="E16" s="11" t="s">
        <v>76</v>
      </c>
      <c r="F16" s="11">
        <v>1</v>
      </c>
      <c r="G16" s="11">
        <v>8000</v>
      </c>
      <c r="H16" s="11">
        <v>8000</v>
      </c>
    </row>
    <row r="17" spans="1:8" x14ac:dyDescent="0.3">
      <c r="A17" s="11" t="s">
        <v>94</v>
      </c>
      <c r="B17" s="11" t="s">
        <v>66</v>
      </c>
      <c r="C17" s="11" t="s">
        <v>67</v>
      </c>
      <c r="D17" s="11" t="s">
        <v>95</v>
      </c>
      <c r="E17" s="11" t="s">
        <v>69</v>
      </c>
      <c r="F17" s="11">
        <v>6</v>
      </c>
      <c r="G17" s="11">
        <v>12500</v>
      </c>
      <c r="H17" s="11">
        <v>75000</v>
      </c>
    </row>
    <row r="18" spans="1:8" ht="28.8" x14ac:dyDescent="0.3">
      <c r="A18" s="11" t="s">
        <v>96</v>
      </c>
      <c r="B18" s="11" t="s">
        <v>73</v>
      </c>
      <c r="C18" s="11" t="s">
        <v>74</v>
      </c>
      <c r="D18" s="11" t="s">
        <v>97</v>
      </c>
      <c r="E18" s="11" t="s">
        <v>69</v>
      </c>
      <c r="F18" s="11">
        <v>5</v>
      </c>
      <c r="G18" s="11">
        <v>10000</v>
      </c>
      <c r="H18" s="11">
        <v>50000</v>
      </c>
    </row>
    <row r="19" spans="1:8" x14ac:dyDescent="0.3">
      <c r="A19" s="11" t="s">
        <v>98</v>
      </c>
      <c r="B19" s="11" t="s">
        <v>78</v>
      </c>
      <c r="C19" s="11" t="s">
        <v>79</v>
      </c>
      <c r="D19" s="11" t="s">
        <v>99</v>
      </c>
      <c r="E19" s="11" t="s">
        <v>76</v>
      </c>
      <c r="F19" s="11">
        <v>2</v>
      </c>
      <c r="G19" s="11">
        <v>9000</v>
      </c>
      <c r="H19" s="11">
        <v>18000</v>
      </c>
    </row>
    <row r="20" spans="1:8" x14ac:dyDescent="0.3">
      <c r="A20" s="11" t="s">
        <v>100</v>
      </c>
      <c r="B20" s="11" t="s">
        <v>70</v>
      </c>
      <c r="C20" s="11" t="s">
        <v>71</v>
      </c>
      <c r="D20" s="11" t="s">
        <v>101</v>
      </c>
      <c r="E20" s="11" t="s">
        <v>76</v>
      </c>
      <c r="F20" s="11">
        <v>9</v>
      </c>
      <c r="G20" s="11">
        <v>15500</v>
      </c>
      <c r="H20" s="11">
        <v>139500</v>
      </c>
    </row>
    <row r="21" spans="1:8" x14ac:dyDescent="0.3">
      <c r="A21" s="11" t="s">
        <v>102</v>
      </c>
      <c r="B21" s="11" t="s">
        <v>66</v>
      </c>
      <c r="C21" s="11" t="s">
        <v>67</v>
      </c>
      <c r="D21" s="11" t="s">
        <v>103</v>
      </c>
      <c r="E21" s="11" t="s">
        <v>76</v>
      </c>
      <c r="F21" s="11">
        <v>4</v>
      </c>
      <c r="G21" s="11">
        <v>11500</v>
      </c>
      <c r="H21" s="11">
        <v>46000</v>
      </c>
    </row>
    <row r="22" spans="1:8" x14ac:dyDescent="0.3">
      <c r="A22" s="11" t="s">
        <v>104</v>
      </c>
      <c r="B22" s="11" t="s">
        <v>73</v>
      </c>
      <c r="C22" s="11" t="s">
        <v>74</v>
      </c>
      <c r="D22" s="11" t="s">
        <v>105</v>
      </c>
      <c r="E22" s="11" t="s">
        <v>76</v>
      </c>
      <c r="F22" s="11">
        <v>3</v>
      </c>
      <c r="G22" s="11">
        <v>6000</v>
      </c>
      <c r="H22" s="11">
        <v>18000</v>
      </c>
    </row>
  </sheetData>
  <mergeCells count="1">
    <mergeCell ref="A1:M1"/>
  </mergeCells>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340E5-BEA3-4C83-BEB3-D0E09A9175C3}">
  <dimension ref="A1:G7"/>
  <sheetViews>
    <sheetView workbookViewId="0">
      <selection activeCell="L2" sqref="L2"/>
    </sheetView>
  </sheetViews>
  <sheetFormatPr defaultRowHeight="14.4" x14ac:dyDescent="0.3"/>
  <cols>
    <col min="1" max="1" width="12.5546875" bestFit="1" customWidth="1"/>
    <col min="2" max="2" width="16.44140625" bestFit="1" customWidth="1"/>
    <col min="3" max="3" width="9.77734375" bestFit="1" customWidth="1"/>
    <col min="4" max="4" width="9" bestFit="1" customWidth="1"/>
    <col min="5" max="5" width="11.21875" bestFit="1" customWidth="1"/>
    <col min="6" max="6" width="10.77734375" bestFit="1" customWidth="1"/>
    <col min="7" max="15" width="6" bestFit="1" customWidth="1"/>
    <col min="16" max="20" width="7" bestFit="1" customWidth="1"/>
    <col min="21" max="21" width="10.77734375" bestFit="1" customWidth="1"/>
  </cols>
  <sheetData>
    <row r="1" spans="1:7" x14ac:dyDescent="0.3">
      <c r="A1" s="20" t="s">
        <v>106</v>
      </c>
      <c r="B1" s="20"/>
      <c r="C1" s="20"/>
      <c r="D1" s="20"/>
      <c r="E1" s="20"/>
      <c r="F1" s="20"/>
      <c r="G1" s="20"/>
    </row>
    <row r="2" spans="1:7" x14ac:dyDescent="0.3">
      <c r="A2" s="14" t="s">
        <v>111</v>
      </c>
      <c r="B2" t="s">
        <v>107</v>
      </c>
    </row>
    <row r="3" spans="1:7" x14ac:dyDescent="0.3">
      <c r="A3" s="15" t="s">
        <v>66</v>
      </c>
      <c r="B3">
        <v>331000</v>
      </c>
    </row>
    <row r="4" spans="1:7" x14ac:dyDescent="0.3">
      <c r="A4" s="15" t="s">
        <v>70</v>
      </c>
      <c r="B4">
        <v>326500</v>
      </c>
    </row>
    <row r="5" spans="1:7" x14ac:dyDescent="0.3">
      <c r="A5" s="15" t="s">
        <v>78</v>
      </c>
      <c r="B5">
        <v>341000</v>
      </c>
    </row>
    <row r="6" spans="1:7" x14ac:dyDescent="0.3">
      <c r="A6" s="15" t="s">
        <v>73</v>
      </c>
      <c r="B6">
        <v>224400</v>
      </c>
    </row>
    <row r="7" spans="1:7" x14ac:dyDescent="0.3">
      <c r="A7" s="15" t="s">
        <v>109</v>
      </c>
      <c r="B7">
        <v>1222900</v>
      </c>
    </row>
  </sheetData>
  <mergeCells count="1">
    <mergeCell ref="A1:G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053D5-FD25-4A61-B343-BF3A47F1CF05}">
  <dimension ref="A1:K6"/>
  <sheetViews>
    <sheetView workbookViewId="0">
      <selection activeCell="K13" sqref="K13"/>
    </sheetView>
  </sheetViews>
  <sheetFormatPr defaultRowHeight="14.4" x14ac:dyDescent="0.3"/>
  <cols>
    <col min="1" max="1" width="12.5546875" bestFit="1" customWidth="1"/>
    <col min="2" max="2" width="16.44140625" bestFit="1" customWidth="1"/>
    <col min="3" max="3" width="7.88671875" bestFit="1" customWidth="1"/>
    <col min="4" max="4" width="10.77734375" bestFit="1" customWidth="1"/>
  </cols>
  <sheetData>
    <row r="1" spans="1:11" x14ac:dyDescent="0.3">
      <c r="A1" s="18" t="s">
        <v>110</v>
      </c>
      <c r="B1" s="21"/>
      <c r="C1" s="21"/>
      <c r="D1" s="21"/>
      <c r="E1" s="21"/>
      <c r="F1" s="21"/>
      <c r="G1" s="21"/>
      <c r="H1" s="21"/>
      <c r="I1" s="21"/>
      <c r="J1" s="21"/>
      <c r="K1" s="21"/>
    </row>
    <row r="3" spans="1:11" x14ac:dyDescent="0.3">
      <c r="A3" s="14" t="s">
        <v>111</v>
      </c>
      <c r="B3" t="s">
        <v>107</v>
      </c>
    </row>
    <row r="4" spans="1:11" x14ac:dyDescent="0.3">
      <c r="A4" s="15" t="s">
        <v>69</v>
      </c>
      <c r="B4">
        <v>360000</v>
      </c>
    </row>
    <row r="5" spans="1:11" x14ac:dyDescent="0.3">
      <c r="A5" s="15" t="s">
        <v>76</v>
      </c>
      <c r="B5">
        <v>862900</v>
      </c>
    </row>
    <row r="6" spans="1:11" x14ac:dyDescent="0.3">
      <c r="A6" s="15" t="s">
        <v>109</v>
      </c>
      <c r="B6">
        <v>1222900</v>
      </c>
    </row>
  </sheetData>
  <mergeCells count="1">
    <mergeCell ref="A1:K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3BC6E-CEFB-4769-A81E-1A6EBAE56AD4}">
  <dimension ref="A1:I7"/>
  <sheetViews>
    <sheetView workbookViewId="0">
      <selection activeCell="M12" sqref="M12"/>
    </sheetView>
  </sheetViews>
  <sheetFormatPr defaultRowHeight="14.4" x14ac:dyDescent="0.3"/>
  <cols>
    <col min="1" max="1" width="12.5546875" bestFit="1" customWidth="1"/>
    <col min="2" max="2" width="16.44140625" bestFit="1" customWidth="1"/>
    <col min="4" max="4" width="7" bestFit="1" customWidth="1"/>
    <col min="5" max="5" width="7.5546875" bestFit="1" customWidth="1"/>
    <col min="6" max="6" width="10.77734375" bestFit="1" customWidth="1"/>
  </cols>
  <sheetData>
    <row r="1" spans="1:9" x14ac:dyDescent="0.3">
      <c r="A1" s="20" t="s">
        <v>112</v>
      </c>
      <c r="B1" s="20"/>
      <c r="C1" s="20"/>
      <c r="D1" s="20"/>
      <c r="E1" s="20"/>
      <c r="F1" s="20"/>
      <c r="G1" s="20"/>
      <c r="H1" s="20"/>
      <c r="I1" s="20"/>
    </row>
    <row r="2" spans="1:9" x14ac:dyDescent="0.3">
      <c r="A2" s="14" t="s">
        <v>111</v>
      </c>
      <c r="B2" t="s">
        <v>107</v>
      </c>
    </row>
    <row r="3" spans="1:9" x14ac:dyDescent="0.3">
      <c r="A3" s="15" t="s">
        <v>71</v>
      </c>
      <c r="B3">
        <v>326500</v>
      </c>
    </row>
    <row r="4" spans="1:9" x14ac:dyDescent="0.3">
      <c r="A4" s="15" t="s">
        <v>74</v>
      </c>
      <c r="B4">
        <v>224400</v>
      </c>
    </row>
    <row r="5" spans="1:9" x14ac:dyDescent="0.3">
      <c r="A5" s="15" t="s">
        <v>79</v>
      </c>
      <c r="B5">
        <v>341000</v>
      </c>
    </row>
    <row r="6" spans="1:9" x14ac:dyDescent="0.3">
      <c r="A6" s="15" t="s">
        <v>67</v>
      </c>
      <c r="B6">
        <v>331000</v>
      </c>
    </row>
    <row r="7" spans="1:9" x14ac:dyDescent="0.3">
      <c r="A7" s="15" t="s">
        <v>109</v>
      </c>
      <c r="B7">
        <v>1222900</v>
      </c>
    </row>
  </sheetData>
  <mergeCells count="1">
    <mergeCell ref="A1:I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CCEEE-4F8D-4AAE-937F-7679A5FBBE8C}">
  <dimension ref="A1:J9"/>
  <sheetViews>
    <sheetView workbookViewId="0">
      <selection activeCell="L20" sqref="L20:M20"/>
    </sheetView>
  </sheetViews>
  <sheetFormatPr defaultRowHeight="14.4" x14ac:dyDescent="0.3"/>
  <cols>
    <col min="1" max="1" width="16.44140625" bestFit="1" customWidth="1"/>
    <col min="2" max="2" width="15.5546875" bestFit="1" customWidth="1"/>
    <col min="3" max="3" width="7.88671875" bestFit="1" customWidth="1"/>
    <col min="4" max="4" width="10.77734375" bestFit="1" customWidth="1"/>
  </cols>
  <sheetData>
    <row r="1" spans="1:10" x14ac:dyDescent="0.3">
      <c r="A1" s="18" t="s">
        <v>113</v>
      </c>
      <c r="B1" s="18"/>
      <c r="C1" s="18"/>
      <c r="D1" s="18"/>
      <c r="E1" s="18"/>
      <c r="F1" s="18"/>
      <c r="G1" s="18"/>
      <c r="H1" s="18"/>
      <c r="I1" s="18"/>
      <c r="J1" s="18"/>
    </row>
    <row r="3" spans="1:10" x14ac:dyDescent="0.3">
      <c r="A3" s="14" t="s">
        <v>107</v>
      </c>
      <c r="B3" s="14" t="s">
        <v>108</v>
      </c>
    </row>
    <row r="4" spans="1:10" x14ac:dyDescent="0.3">
      <c r="A4" s="14" t="s">
        <v>111</v>
      </c>
      <c r="B4" t="s">
        <v>69</v>
      </c>
      <c r="C4" t="s">
        <v>76</v>
      </c>
      <c r="D4" t="s">
        <v>109</v>
      </c>
    </row>
    <row r="5" spans="1:10" x14ac:dyDescent="0.3">
      <c r="A5" s="15" t="s">
        <v>66</v>
      </c>
      <c r="B5">
        <v>135000</v>
      </c>
      <c r="C5">
        <v>196000</v>
      </c>
      <c r="D5">
        <v>331000</v>
      </c>
    </row>
    <row r="6" spans="1:10" x14ac:dyDescent="0.3">
      <c r="A6" s="15" t="s">
        <v>70</v>
      </c>
      <c r="B6">
        <v>137000</v>
      </c>
      <c r="C6">
        <v>189500</v>
      </c>
      <c r="D6">
        <v>326500</v>
      </c>
    </row>
    <row r="7" spans="1:10" x14ac:dyDescent="0.3">
      <c r="A7" s="15" t="s">
        <v>78</v>
      </c>
      <c r="C7">
        <v>341000</v>
      </c>
      <c r="D7">
        <v>341000</v>
      </c>
    </row>
    <row r="8" spans="1:10" x14ac:dyDescent="0.3">
      <c r="A8" s="15" t="s">
        <v>73</v>
      </c>
      <c r="B8">
        <v>88000</v>
      </c>
      <c r="C8">
        <v>136400</v>
      </c>
      <c r="D8">
        <v>224400</v>
      </c>
    </row>
    <row r="9" spans="1:10" x14ac:dyDescent="0.3">
      <c r="A9" s="15" t="s">
        <v>109</v>
      </c>
      <c r="B9">
        <v>360000</v>
      </c>
      <c r="C9">
        <v>862900</v>
      </c>
      <c r="D9">
        <v>1222900</v>
      </c>
    </row>
  </sheetData>
  <mergeCells count="1">
    <mergeCell ref="A1:J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9B7FB-6B45-4CB9-9509-6B8CF8399277}">
  <dimension ref="A1:T2"/>
  <sheetViews>
    <sheetView showGridLines="0" zoomScale="85" zoomScaleNormal="85" workbookViewId="0">
      <selection activeCell="S7" sqref="S7"/>
    </sheetView>
  </sheetViews>
  <sheetFormatPr defaultRowHeight="14.4" x14ac:dyDescent="0.3"/>
  <cols>
    <col min="1" max="16384" width="8.88671875" style="16"/>
  </cols>
  <sheetData>
    <row r="1" spans="1:20" ht="14.4" customHeight="1" x14ac:dyDescent="0.3">
      <c r="A1" s="22" t="s">
        <v>58</v>
      </c>
      <c r="B1" s="23"/>
      <c r="C1" s="23"/>
      <c r="D1" s="23"/>
      <c r="E1" s="23"/>
      <c r="F1" s="23"/>
      <c r="G1" s="23"/>
      <c r="H1" s="23"/>
      <c r="I1" s="23"/>
      <c r="J1" s="23"/>
      <c r="K1" s="23"/>
      <c r="L1" s="23"/>
      <c r="M1" s="23"/>
      <c r="N1" s="23"/>
      <c r="O1" s="23"/>
      <c r="P1" s="23"/>
      <c r="Q1" s="23"/>
      <c r="R1" s="17"/>
      <c r="S1" s="17"/>
      <c r="T1" s="17"/>
    </row>
    <row r="2" spans="1:20" ht="14.4" customHeight="1" x14ac:dyDescent="0.3">
      <c r="A2" s="24"/>
      <c r="B2" s="25"/>
      <c r="C2" s="25"/>
      <c r="D2" s="25"/>
      <c r="E2" s="25"/>
      <c r="F2" s="25"/>
      <c r="G2" s="25"/>
      <c r="H2" s="25"/>
      <c r="I2" s="25"/>
      <c r="J2" s="25"/>
      <c r="K2" s="25"/>
      <c r="L2" s="25"/>
      <c r="M2" s="25"/>
      <c r="N2" s="25"/>
      <c r="O2" s="25"/>
      <c r="P2" s="25"/>
      <c r="Q2" s="25"/>
      <c r="R2" s="17"/>
      <c r="S2" s="17"/>
      <c r="T2" s="17"/>
    </row>
  </sheetData>
  <mergeCells count="1">
    <mergeCell ref="A1:Q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4D854-BA28-4564-B638-E8E5D61652C7}">
  <dimension ref="A1:I22"/>
  <sheetViews>
    <sheetView tabSelected="1" zoomScale="115" zoomScaleNormal="115" workbookViewId="0">
      <selection activeCell="A18" sqref="A18"/>
    </sheetView>
  </sheetViews>
  <sheetFormatPr defaultRowHeight="14.4" x14ac:dyDescent="0.3"/>
  <cols>
    <col min="1" max="1" width="22.88671875" bestFit="1" customWidth="1"/>
    <col min="2" max="2" width="15.21875" bestFit="1" customWidth="1"/>
    <col min="3" max="3" width="23" bestFit="1" customWidth="1"/>
    <col min="4" max="4" width="24" bestFit="1" customWidth="1"/>
  </cols>
  <sheetData>
    <row r="1" spans="1:9" x14ac:dyDescent="0.3">
      <c r="A1" s="32" t="s">
        <v>114</v>
      </c>
      <c r="B1" s="32"/>
      <c r="C1" s="32"/>
      <c r="D1" s="32"/>
    </row>
    <row r="2" spans="1:9" x14ac:dyDescent="0.3">
      <c r="A2" s="27" t="s">
        <v>2</v>
      </c>
      <c r="B2" s="27" t="s">
        <v>115</v>
      </c>
      <c r="C2" s="27" t="s">
        <v>116</v>
      </c>
      <c r="D2" s="27" t="s">
        <v>117</v>
      </c>
    </row>
    <row r="3" spans="1:9" x14ac:dyDescent="0.3">
      <c r="A3" s="28" t="s">
        <v>66</v>
      </c>
      <c r="B3" s="28">
        <v>1200</v>
      </c>
      <c r="C3" s="29">
        <v>5000000</v>
      </c>
      <c r="D3" s="29">
        <v>1500</v>
      </c>
    </row>
    <row r="4" spans="1:9" x14ac:dyDescent="0.3">
      <c r="A4" s="28" t="s">
        <v>70</v>
      </c>
      <c r="B4" s="28">
        <v>900</v>
      </c>
      <c r="C4" s="29">
        <v>4000000</v>
      </c>
      <c r="D4" s="29">
        <v>1800</v>
      </c>
    </row>
    <row r="5" spans="1:9" x14ac:dyDescent="0.3">
      <c r="A5" s="28" t="s">
        <v>78</v>
      </c>
      <c r="B5" s="28">
        <v>700</v>
      </c>
      <c r="C5" s="29">
        <v>6500000</v>
      </c>
      <c r="D5" s="29">
        <v>2200</v>
      </c>
    </row>
    <row r="6" spans="1:9" x14ac:dyDescent="0.3">
      <c r="A6" s="28" t="s">
        <v>73</v>
      </c>
      <c r="B6" s="28">
        <v>1500</v>
      </c>
      <c r="C6" s="29">
        <v>3800000</v>
      </c>
      <c r="D6" s="29">
        <v>1200</v>
      </c>
    </row>
    <row r="7" spans="1:9" x14ac:dyDescent="0.3">
      <c r="A7" s="28"/>
      <c r="B7" s="28"/>
      <c r="C7" s="28"/>
      <c r="D7" s="28"/>
    </row>
    <row r="8" spans="1:9" x14ac:dyDescent="0.3">
      <c r="A8" s="26" t="s">
        <v>118</v>
      </c>
      <c r="B8" s="26" t="s">
        <v>119</v>
      </c>
      <c r="C8" s="26" t="s">
        <v>118</v>
      </c>
      <c r="D8" s="26" t="s">
        <v>119</v>
      </c>
    </row>
    <row r="9" spans="1:9" x14ac:dyDescent="0.3">
      <c r="A9" s="30" t="s">
        <v>2</v>
      </c>
      <c r="B9" s="30" t="s">
        <v>70</v>
      </c>
      <c r="C9" s="28" t="s">
        <v>120</v>
      </c>
      <c r="D9" s="28">
        <v>1</v>
      </c>
    </row>
    <row r="10" spans="1:9" x14ac:dyDescent="0.3">
      <c r="A10" s="30" t="s">
        <v>115</v>
      </c>
      <c r="B10" s="30">
        <f>VLOOKUP($B$9,$A$2:$D$6,2,)*D9</f>
        <v>900</v>
      </c>
      <c r="C10" s="28" t="s">
        <v>121</v>
      </c>
      <c r="D10" s="28">
        <v>1</v>
      </c>
    </row>
    <row r="11" spans="1:9" x14ac:dyDescent="0.3">
      <c r="A11" s="30" t="s">
        <v>122</v>
      </c>
      <c r="B11" s="30">
        <f>VLOOKUP($B$9,$A$2:$D$6,3,)*D10</f>
        <v>4000000</v>
      </c>
      <c r="C11" s="28"/>
      <c r="D11" s="28"/>
    </row>
    <row r="12" spans="1:9" x14ac:dyDescent="0.3">
      <c r="A12" s="30" t="s">
        <v>123</v>
      </c>
      <c r="B12" s="30">
        <f>VLOOKUP($B$9,$A$2:$D$6,4,)</f>
        <v>1800</v>
      </c>
      <c r="C12" s="28"/>
      <c r="D12" s="28"/>
    </row>
    <row r="13" spans="1:9" x14ac:dyDescent="0.3">
      <c r="A13" s="30" t="s">
        <v>124</v>
      </c>
      <c r="B13" s="31">
        <f>B10*B12</f>
        <v>1620000</v>
      </c>
      <c r="C13" s="28"/>
      <c r="D13" s="28"/>
    </row>
    <row r="14" spans="1:9" x14ac:dyDescent="0.3">
      <c r="A14" s="30" t="s">
        <v>125</v>
      </c>
      <c r="B14" s="31">
        <f>B11+B13</f>
        <v>5620000</v>
      </c>
      <c r="C14" s="28"/>
      <c r="D14" s="28"/>
    </row>
    <row r="15" spans="1:9" x14ac:dyDescent="0.3">
      <c r="A15" s="30" t="s">
        <v>126</v>
      </c>
      <c r="B15" s="31">
        <f>B14/B10</f>
        <v>6244.4444444444443</v>
      </c>
      <c r="C15" s="28"/>
      <c r="D15" s="28"/>
      <c r="I15" s="33"/>
    </row>
    <row r="16" spans="1:9" x14ac:dyDescent="0.3">
      <c r="A16" s="28"/>
      <c r="B16" s="28"/>
      <c r="C16" s="28"/>
      <c r="D16" s="28"/>
    </row>
    <row r="17" spans="1:4" x14ac:dyDescent="0.3">
      <c r="A17" s="34" t="s">
        <v>127</v>
      </c>
      <c r="B17" s="35"/>
      <c r="C17" s="35"/>
      <c r="D17" s="36"/>
    </row>
    <row r="18" spans="1:4" x14ac:dyDescent="0.3">
      <c r="A18" s="3" t="s">
        <v>128</v>
      </c>
    </row>
    <row r="19" spans="1:4" x14ac:dyDescent="0.3">
      <c r="A19" s="26">
        <f>B15</f>
        <v>6244.4444444444443</v>
      </c>
      <c r="B19" s="26">
        <v>0.8</v>
      </c>
      <c r="C19" s="26">
        <v>1</v>
      </c>
      <c r="D19" s="26">
        <v>1.2</v>
      </c>
    </row>
    <row r="20" spans="1:4" x14ac:dyDescent="0.3">
      <c r="A20" s="30">
        <v>0.8</v>
      </c>
      <c r="B20" s="30">
        <f t="dataTable" ref="B20:D22" dt2D="1" dtr="1" r1="D10" r2="D9"/>
        <v>6244.4444444444443</v>
      </c>
      <c r="C20" s="30">
        <v>7355.5555555555557</v>
      </c>
      <c r="D20" s="30">
        <v>8466.6666666666661</v>
      </c>
    </row>
    <row r="21" spans="1:4" x14ac:dyDescent="0.3">
      <c r="A21" s="30">
        <v>1</v>
      </c>
      <c r="B21" s="30">
        <v>5355.5555555555557</v>
      </c>
      <c r="C21" s="30">
        <v>6244.4444444444443</v>
      </c>
      <c r="D21" s="30">
        <v>7133.333333333333</v>
      </c>
    </row>
    <row r="22" spans="1:4" x14ac:dyDescent="0.3">
      <c r="A22" s="30">
        <v>1.2</v>
      </c>
      <c r="B22" s="30">
        <v>4762.9629629629626</v>
      </c>
      <c r="C22" s="30">
        <v>5503.7037037037035</v>
      </c>
      <c r="D22" s="30">
        <v>6244.4444444444443</v>
      </c>
    </row>
  </sheetData>
  <mergeCells count="2">
    <mergeCell ref="A1:D1"/>
    <mergeCell ref="A17:D17"/>
  </mergeCells>
  <dataValidations count="1">
    <dataValidation type="list" allowBlank="1" showInputMessage="1" showErrorMessage="1" sqref="B9" xr:uid="{42528AC6-EE3E-4671-9C4D-DDB47E6F0C89}">
      <formula1>$A$3:$A$6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Sumifs and Countifs </vt:lpstr>
      <vt:lpstr>Nested ifs </vt:lpstr>
      <vt:lpstr>Xlook up </vt:lpstr>
      <vt:lpstr>Pivot Table Data </vt:lpstr>
      <vt:lpstr>Department Cost Analysis</vt:lpstr>
      <vt:lpstr>Emergency vs Planned Spend</vt:lpstr>
      <vt:lpstr>Doctor Cost Drivers</vt:lpstr>
      <vt:lpstr>Department × Admission Type</vt:lpstr>
      <vt:lpstr>DASHBOARD</vt:lpstr>
      <vt:lpstr>what if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 Vast</dc:creator>
  <cp:lastModifiedBy>Arya Vast</cp:lastModifiedBy>
  <dcterms:created xsi:type="dcterms:W3CDTF">2026-01-23T13:57:11Z</dcterms:created>
  <dcterms:modified xsi:type="dcterms:W3CDTF">2026-01-27T12:26:19Z</dcterms:modified>
</cp:coreProperties>
</file>