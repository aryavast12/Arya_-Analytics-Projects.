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rya Vast\Desktop\PGD BIO AND COMPUTER SKILLS\EXCEL\"/>
    </mc:Choice>
  </mc:AlternateContent>
  <xr:revisionPtr revIDLastSave="0" documentId="13_ncr:1_{4364F1E5-084F-4914-A0BB-54F9DB465535}" xr6:coauthVersionLast="47" xr6:coauthVersionMax="47" xr10:uidLastSave="{00000000-0000-0000-0000-000000000000}"/>
  <bookViews>
    <workbookView xWindow="-108" yWindow="-108" windowWidth="23256" windowHeight="12456" firstSheet="2" activeTab="5" xr2:uid="{A7D4A577-647E-48D5-932D-B271C67CB8ED}"/>
  </bookViews>
  <sheets>
    <sheet name="HOSPITAL DATA" sheetId="1" r:id="rId1"/>
    <sheet name="Revenue_View" sheetId="2" r:id="rId2"/>
    <sheet name="Patient Load &amp; Capacity" sheetId="3" r:id="rId3"/>
    <sheet name="Insurance_View" sheetId="4" r:id="rId4"/>
    <sheet name="Discharge Efficiency" sheetId="5" r:id="rId5"/>
    <sheet name="dashboards" sheetId="6" r:id="rId6"/>
  </sheets>
  <definedNames>
    <definedName name="_xlnm._FilterDatabase" localSheetId="0" hidden="1">'HOSPITAL DATA'!$A$3:$H$17</definedName>
    <definedName name="Slicer_Department">#N/A</definedName>
    <definedName name="Slicer_InsuranceProvider">#N/A</definedName>
    <definedName name="Slicer_Status">#N/A</definedName>
  </definedNames>
  <calcPr calcId="191029"/>
  <pivotCaches>
    <pivotCache cacheId="4"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3" i="1" l="1"/>
  <c r="I4" i="1"/>
  <c r="I5" i="1"/>
  <c r="I6" i="1"/>
  <c r="I7" i="1"/>
  <c r="I8" i="1"/>
  <c r="I9" i="1"/>
  <c r="I10" i="1"/>
  <c r="I11" i="1"/>
  <c r="I12" i="1"/>
  <c r="I13" i="1"/>
  <c r="I14" i="1"/>
  <c r="I15" i="1"/>
  <c r="I16" i="1"/>
  <c r="I17" i="1"/>
  <c r="B24" i="1"/>
  <c r="B21" i="1"/>
</calcChain>
</file>

<file path=xl/sharedStrings.xml><?xml version="1.0" encoding="utf-8"?>
<sst xmlns="http://schemas.openxmlformats.org/spreadsheetml/2006/main" count="130" uniqueCount="50">
  <si>
    <t>PatientID</t>
  </si>
  <si>
    <t>PatientName</t>
  </si>
  <si>
    <t>Department</t>
  </si>
  <si>
    <t>AdmissionDate</t>
  </si>
  <si>
    <t>PatientType</t>
  </si>
  <si>
    <t>BillAmount</t>
  </si>
  <si>
    <t>InsuranceProvider</t>
  </si>
  <si>
    <t>Status</t>
  </si>
  <si>
    <t>Aarav Sharma</t>
  </si>
  <si>
    <t>Cardiology</t>
  </si>
  <si>
    <t>Inpatient</t>
  </si>
  <si>
    <t>HDFC Ergo</t>
  </si>
  <si>
    <t>Discharged</t>
  </si>
  <si>
    <t>Vihaan Patel</t>
  </si>
  <si>
    <t>Orthopedics</t>
  </si>
  <si>
    <t>Outpatient</t>
  </si>
  <si>
    <t>None</t>
  </si>
  <si>
    <t>Active</t>
  </si>
  <si>
    <t>Diya Verma</t>
  </si>
  <si>
    <t>Neurology</t>
  </si>
  <si>
    <t>Star Health</t>
  </si>
  <si>
    <t>Ananya Gupta</t>
  </si>
  <si>
    <t>Rohan Iyer</t>
  </si>
  <si>
    <t>Pediatrics</t>
  </si>
  <si>
    <t>ICICI Lombard</t>
  </si>
  <si>
    <t>Ishaan Reddy</t>
  </si>
  <si>
    <t>Sana Khan</t>
  </si>
  <si>
    <t>General</t>
  </si>
  <si>
    <t>Kabir Singh</t>
  </si>
  <si>
    <t>Meera Joshi</t>
  </si>
  <si>
    <t>Arjun Nair</t>
  </si>
  <si>
    <t>Zara Fernandez</t>
  </si>
  <si>
    <t>Dev Malhotra</t>
  </si>
  <si>
    <t>Priya Das</t>
  </si>
  <si>
    <t>Rahul Kulkarni</t>
  </si>
  <si>
    <t>Kavya Shah</t>
  </si>
  <si>
    <t xml:space="preserve"> </t>
  </si>
  <si>
    <t>Column Labels</t>
  </si>
  <si>
    <t>Grand Total</t>
  </si>
  <si>
    <t>Row Labels</t>
  </si>
  <si>
    <t>Sum of BillAmount</t>
  </si>
  <si>
    <t>HOSPITAL DATA</t>
  </si>
  <si>
    <t>Average of BillAmount2</t>
  </si>
  <si>
    <t>Count of PatientID</t>
  </si>
  <si>
    <t>SUMIFS</t>
  </si>
  <si>
    <t>TOTAL BILL AMOUNT</t>
  </si>
  <si>
    <t>COUNTIF</t>
  </si>
  <si>
    <t>Status of patient department wise</t>
  </si>
  <si>
    <t xml:space="preserve">Bill category </t>
  </si>
  <si>
    <t xml:space="preserve">nestedif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</si>
</sst>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Calibri"/>
      <family val="2"/>
      <scheme val="minor"/>
    </font>
    <font>
      <b/>
      <sz val="11"/>
      <color rgb="FFFA7D00"/>
      <name val="Calibri"/>
      <family val="2"/>
      <scheme val="minor"/>
    </font>
    <font>
      <b/>
      <sz val="11"/>
      <color theme="1"/>
      <name val="Calibri"/>
      <family val="2"/>
      <scheme val="minor"/>
    </font>
    <font>
      <sz val="8"/>
      <name val="Calibri"/>
      <family val="2"/>
      <scheme val="minor"/>
    </font>
    <font>
      <sz val="16"/>
      <color theme="1"/>
      <name val="Calibri"/>
      <family val="2"/>
      <scheme val="minor"/>
    </font>
    <font>
      <b/>
      <sz val="26"/>
      <color theme="1"/>
      <name val="Calibri"/>
      <family val="2"/>
      <scheme val="minor"/>
    </font>
  </fonts>
  <fills count="5">
    <fill>
      <patternFill patternType="none"/>
    </fill>
    <fill>
      <patternFill patternType="gray125"/>
    </fill>
    <fill>
      <patternFill patternType="solid">
        <fgColor rgb="FFF2F2F2"/>
      </patternFill>
    </fill>
    <fill>
      <patternFill patternType="solid">
        <fgColor theme="4" tint="0.79998168889431442"/>
        <bgColor indexed="65"/>
      </patternFill>
    </fill>
    <fill>
      <patternFill patternType="solid">
        <fgColor theme="4" tint="0.39997558519241921"/>
        <bgColor indexed="64"/>
      </patternFill>
    </fill>
  </fills>
  <borders count="4">
    <border>
      <left/>
      <right/>
      <top/>
      <bottom/>
      <diagonal/>
    </border>
    <border>
      <left style="thin">
        <color rgb="FF7F7F7F"/>
      </left>
      <right style="thin">
        <color rgb="FF7F7F7F"/>
      </right>
      <top style="thin">
        <color rgb="FF7F7F7F"/>
      </top>
      <bottom style="thin">
        <color rgb="FF7F7F7F"/>
      </bottom>
      <diagonal/>
    </border>
    <border>
      <left/>
      <right/>
      <top/>
      <bottom style="thin">
        <color rgb="FFB2B2B2"/>
      </bottom>
      <diagonal/>
    </border>
    <border>
      <left style="thin">
        <color rgb="FFB2B2B2"/>
      </left>
      <right/>
      <top/>
      <bottom/>
      <diagonal/>
    </border>
  </borders>
  <cellStyleXfs count="3">
    <xf numFmtId="0" fontId="0" fillId="0" borderId="0"/>
    <xf numFmtId="0" fontId="2" fillId="2" borderId="1" applyNumberFormat="0" applyAlignment="0" applyProtection="0"/>
    <xf numFmtId="0" fontId="1" fillId="3" borderId="0" applyNumberFormat="0" applyBorder="0" applyAlignment="0" applyProtection="0"/>
  </cellStyleXfs>
  <cellXfs count="14">
    <xf numFmtId="0" fontId="0" fillId="0" borderId="0" xfId="0"/>
    <xf numFmtId="0" fontId="3" fillId="0" borderId="0" xfId="0" applyFont="1"/>
    <xf numFmtId="0" fontId="0" fillId="0" borderId="0" xfId="0" pivotButton="1"/>
    <xf numFmtId="0" fontId="0" fillId="0" borderId="0" xfId="0" applyAlignment="1">
      <alignment horizontal="left"/>
    </xf>
    <xf numFmtId="0" fontId="1" fillId="3" borderId="0" xfId="2"/>
    <xf numFmtId="0" fontId="5" fillId="4" borderId="0" xfId="2" applyFont="1" applyFill="1"/>
    <xf numFmtId="0" fontId="6" fillId="4" borderId="0" xfId="2" applyFont="1" applyFill="1" applyBorder="1" applyAlignment="1">
      <alignment vertical="center"/>
    </xf>
    <xf numFmtId="0" fontId="0" fillId="0" borderId="2" xfId="0" applyBorder="1"/>
    <xf numFmtId="0" fontId="0" fillId="0" borderId="0" xfId="0" applyAlignment="1">
      <alignment horizontal="center"/>
    </xf>
    <xf numFmtId="0" fontId="3" fillId="0" borderId="0" xfId="0" applyFont="1" applyAlignment="1">
      <alignment horizontal="center"/>
    </xf>
    <xf numFmtId="0" fontId="2" fillId="2" borderId="1" xfId="1" applyAlignment="1">
      <alignment horizontal="center"/>
    </xf>
    <xf numFmtId="0" fontId="3" fillId="0" borderId="0" xfId="0" applyFont="1" applyAlignment="1">
      <alignment horizontal="center" wrapText="1"/>
    </xf>
    <xf numFmtId="0" fontId="6" fillId="4" borderId="3" xfId="2" applyFont="1" applyFill="1" applyBorder="1" applyAlignment="1">
      <alignment horizontal="center" vertical="center"/>
    </xf>
    <xf numFmtId="0" fontId="6" fillId="4" borderId="0" xfId="2" applyFont="1" applyFill="1" applyBorder="1" applyAlignment="1">
      <alignment horizontal="center" vertical="center"/>
    </xf>
  </cellXfs>
  <cellStyles count="3">
    <cellStyle name="20% - Accent1" xfId="2" builtinId="30"/>
    <cellStyle name="Calculation" xfId="1" builtinId="22"/>
    <cellStyle name="Normal" xfId="0" builtinId="0"/>
  </cellStyles>
  <dxfs count="2">
    <dxf>
      <numFmt numFmtId="0" formatCode="General"/>
    </dxf>
    <dxf>
      <border outline="0">
        <bottom style="thin">
          <color rgb="FFB2B2B2"/>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 &amp; Slicers.xlsx]Revenue_View!PivotTable2</c:name>
    <c:fmtId val="1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Revenue_View!$B$3</c:f>
              <c:strCache>
                <c:ptCount val="1"/>
                <c:pt idx="0">
                  <c:v>Sum of BillAmount</c:v>
                </c:pt>
              </c:strCache>
            </c:strRef>
          </c:tx>
          <c:spPr>
            <a:solidFill>
              <a:schemeClr val="accent1"/>
            </a:solidFill>
            <a:ln>
              <a:noFill/>
            </a:ln>
            <a:effectLst/>
          </c:spPr>
          <c:invertIfNegative val="0"/>
          <c:cat>
            <c:strRef>
              <c:f>Revenue_View!$A$4:$A$10</c:f>
              <c:strCache>
                <c:ptCount val="6"/>
                <c:pt idx="0">
                  <c:v> </c:v>
                </c:pt>
                <c:pt idx="1">
                  <c:v>Cardiology</c:v>
                </c:pt>
                <c:pt idx="2">
                  <c:v>General</c:v>
                </c:pt>
                <c:pt idx="3">
                  <c:v>Neurology</c:v>
                </c:pt>
                <c:pt idx="4">
                  <c:v>Orthopedics</c:v>
                </c:pt>
                <c:pt idx="5">
                  <c:v>Pediatrics</c:v>
                </c:pt>
              </c:strCache>
            </c:strRef>
          </c:cat>
          <c:val>
            <c:numRef>
              <c:f>Revenue_View!$B$4:$B$10</c:f>
              <c:numCache>
                <c:formatCode>General</c:formatCode>
                <c:ptCount val="6"/>
                <c:pt idx="0">
                  <c:v>35000</c:v>
                </c:pt>
                <c:pt idx="1">
                  <c:v>162500</c:v>
                </c:pt>
                <c:pt idx="2">
                  <c:v>24000</c:v>
                </c:pt>
                <c:pt idx="3">
                  <c:v>220000</c:v>
                </c:pt>
                <c:pt idx="4">
                  <c:v>163500</c:v>
                </c:pt>
                <c:pt idx="5">
                  <c:v>2000</c:v>
                </c:pt>
              </c:numCache>
            </c:numRef>
          </c:val>
          <c:extLst>
            <c:ext xmlns:c16="http://schemas.microsoft.com/office/drawing/2014/chart" uri="{C3380CC4-5D6E-409C-BE32-E72D297353CC}">
              <c16:uniqueId val="{00000000-0F96-48A6-8FCE-A75CB017F880}"/>
            </c:ext>
          </c:extLst>
        </c:ser>
        <c:ser>
          <c:idx val="1"/>
          <c:order val="1"/>
          <c:tx>
            <c:strRef>
              <c:f>Revenue_View!$C$3</c:f>
              <c:strCache>
                <c:ptCount val="1"/>
                <c:pt idx="0">
                  <c:v>Average of BillAmount2</c:v>
                </c:pt>
              </c:strCache>
            </c:strRef>
          </c:tx>
          <c:spPr>
            <a:solidFill>
              <a:schemeClr val="accent2"/>
            </a:solidFill>
            <a:ln>
              <a:noFill/>
            </a:ln>
            <a:effectLst/>
          </c:spPr>
          <c:invertIfNegative val="0"/>
          <c:cat>
            <c:strRef>
              <c:f>Revenue_View!$A$4:$A$10</c:f>
              <c:strCache>
                <c:ptCount val="6"/>
                <c:pt idx="0">
                  <c:v> </c:v>
                </c:pt>
                <c:pt idx="1">
                  <c:v>Cardiology</c:v>
                </c:pt>
                <c:pt idx="2">
                  <c:v>General</c:v>
                </c:pt>
                <c:pt idx="3">
                  <c:v>Neurology</c:v>
                </c:pt>
                <c:pt idx="4">
                  <c:v>Orthopedics</c:v>
                </c:pt>
                <c:pt idx="5">
                  <c:v>Pediatrics</c:v>
                </c:pt>
              </c:strCache>
            </c:strRef>
          </c:cat>
          <c:val>
            <c:numRef>
              <c:f>Revenue_View!$C$4:$C$10</c:f>
              <c:numCache>
                <c:formatCode>General</c:formatCode>
                <c:ptCount val="6"/>
                <c:pt idx="0">
                  <c:v>35000</c:v>
                </c:pt>
                <c:pt idx="1">
                  <c:v>40625</c:v>
                </c:pt>
                <c:pt idx="2">
                  <c:v>8000</c:v>
                </c:pt>
                <c:pt idx="3">
                  <c:v>73333.333333333328</c:v>
                </c:pt>
                <c:pt idx="4">
                  <c:v>54500</c:v>
                </c:pt>
                <c:pt idx="5">
                  <c:v>2000</c:v>
                </c:pt>
              </c:numCache>
            </c:numRef>
          </c:val>
          <c:extLst>
            <c:ext xmlns:c16="http://schemas.microsoft.com/office/drawing/2014/chart" uri="{C3380CC4-5D6E-409C-BE32-E72D297353CC}">
              <c16:uniqueId val="{00000003-0F96-48A6-8FCE-A75CB017F880}"/>
            </c:ext>
          </c:extLst>
        </c:ser>
        <c:dLbls>
          <c:showLegendKey val="0"/>
          <c:showVal val="0"/>
          <c:showCatName val="0"/>
          <c:showSerName val="0"/>
          <c:showPercent val="0"/>
          <c:showBubbleSize val="0"/>
        </c:dLbls>
        <c:gapWidth val="219"/>
        <c:axId val="839331215"/>
        <c:axId val="839329775"/>
      </c:barChart>
      <c:catAx>
        <c:axId val="839331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329775"/>
        <c:crosses val="autoZero"/>
        <c:auto val="1"/>
        <c:lblAlgn val="ctr"/>
        <c:lblOffset val="100"/>
        <c:noMultiLvlLbl val="0"/>
      </c:catAx>
      <c:valAx>
        <c:axId val="839329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331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 &amp; Slicers.xlsx]Patient Load &amp; Capacity!PivotTable4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Patient_Load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'Patient Load &amp; Capacity'!$B$2</c:f>
              <c:strCache>
                <c:ptCount val="1"/>
                <c:pt idx="0">
                  <c:v>Total</c:v>
                </c:pt>
              </c:strCache>
            </c:strRef>
          </c:tx>
          <c:spPr>
            <a:solidFill>
              <a:schemeClr val="accent1"/>
            </a:solidFill>
            <a:ln>
              <a:noFill/>
            </a:ln>
            <a:effectLst/>
          </c:spPr>
          <c:invertIfNegative val="0"/>
          <c:cat>
            <c:strRef>
              <c:f>'Patient Load &amp; Capacity'!$A$3:$A$6</c:f>
              <c:strCache>
                <c:ptCount val="3"/>
                <c:pt idx="0">
                  <c:v>Cardiology</c:v>
                </c:pt>
                <c:pt idx="1">
                  <c:v>Neurology</c:v>
                </c:pt>
                <c:pt idx="2">
                  <c:v>Orthopedics</c:v>
                </c:pt>
              </c:strCache>
            </c:strRef>
          </c:cat>
          <c:val>
            <c:numRef>
              <c:f>'Patient Load &amp; Capacity'!$B$3:$B$6</c:f>
              <c:numCache>
                <c:formatCode>General</c:formatCode>
                <c:ptCount val="3"/>
                <c:pt idx="0">
                  <c:v>2</c:v>
                </c:pt>
                <c:pt idx="1">
                  <c:v>1</c:v>
                </c:pt>
                <c:pt idx="2">
                  <c:v>1</c:v>
                </c:pt>
              </c:numCache>
            </c:numRef>
          </c:val>
          <c:extLst>
            <c:ext xmlns:c16="http://schemas.microsoft.com/office/drawing/2014/chart" uri="{C3380CC4-5D6E-409C-BE32-E72D297353CC}">
              <c16:uniqueId val="{00000000-7BAB-46D4-9198-13FDDB1654DD}"/>
            </c:ext>
          </c:extLst>
        </c:ser>
        <c:dLbls>
          <c:showLegendKey val="0"/>
          <c:showVal val="0"/>
          <c:showCatName val="0"/>
          <c:showSerName val="0"/>
          <c:showPercent val="0"/>
          <c:showBubbleSize val="0"/>
        </c:dLbls>
        <c:gapWidth val="219"/>
        <c:overlap val="-27"/>
        <c:axId val="506770287"/>
        <c:axId val="506772207"/>
      </c:barChart>
      <c:catAx>
        <c:axId val="506770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772207"/>
        <c:crosses val="autoZero"/>
        <c:auto val="1"/>
        <c:lblAlgn val="ctr"/>
        <c:lblOffset val="100"/>
        <c:noMultiLvlLbl val="0"/>
      </c:catAx>
      <c:valAx>
        <c:axId val="506772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770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 &amp; Slicers.xlsx]Insurance_View!PivotTable5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Insurance_View!$B$1</c:f>
              <c:strCache>
                <c:ptCount val="1"/>
                <c:pt idx="0">
                  <c:v>Sum of BillAmount</c:v>
                </c:pt>
              </c:strCache>
            </c:strRef>
          </c:tx>
          <c:spPr>
            <a:solidFill>
              <a:schemeClr val="accent1"/>
            </a:solidFill>
            <a:ln>
              <a:noFill/>
            </a:ln>
            <a:effectLst/>
          </c:spPr>
          <c:invertIfNegative val="0"/>
          <c:cat>
            <c:strRef>
              <c:f>Insurance_View!$A$2:$A$3</c:f>
              <c:strCache>
                <c:ptCount val="1"/>
                <c:pt idx="0">
                  <c:v>HDFC Ergo</c:v>
                </c:pt>
              </c:strCache>
            </c:strRef>
          </c:cat>
          <c:val>
            <c:numRef>
              <c:f>Insurance_View!$B$2:$B$3</c:f>
              <c:numCache>
                <c:formatCode>General</c:formatCode>
                <c:ptCount val="1"/>
                <c:pt idx="0">
                  <c:v>219000</c:v>
                </c:pt>
              </c:numCache>
            </c:numRef>
          </c:val>
          <c:extLst>
            <c:ext xmlns:c16="http://schemas.microsoft.com/office/drawing/2014/chart" uri="{C3380CC4-5D6E-409C-BE32-E72D297353CC}">
              <c16:uniqueId val="{00000000-4C9D-4CD9-823D-069808FA5ACC}"/>
            </c:ext>
          </c:extLst>
        </c:ser>
        <c:ser>
          <c:idx val="1"/>
          <c:order val="1"/>
          <c:tx>
            <c:strRef>
              <c:f>Insurance_View!$C$1</c:f>
              <c:strCache>
                <c:ptCount val="1"/>
                <c:pt idx="0">
                  <c:v>Count of PatientID</c:v>
                </c:pt>
              </c:strCache>
            </c:strRef>
          </c:tx>
          <c:spPr>
            <a:solidFill>
              <a:schemeClr val="accent2"/>
            </a:solidFill>
            <a:ln>
              <a:noFill/>
            </a:ln>
            <a:effectLst/>
          </c:spPr>
          <c:invertIfNegative val="0"/>
          <c:cat>
            <c:strRef>
              <c:f>Insurance_View!$A$2:$A$3</c:f>
              <c:strCache>
                <c:ptCount val="1"/>
                <c:pt idx="0">
                  <c:v>HDFC Ergo</c:v>
                </c:pt>
              </c:strCache>
            </c:strRef>
          </c:cat>
          <c:val>
            <c:numRef>
              <c:f>Insurance_View!$C$2:$C$3</c:f>
              <c:numCache>
                <c:formatCode>General</c:formatCode>
                <c:ptCount val="1"/>
                <c:pt idx="0">
                  <c:v>4</c:v>
                </c:pt>
              </c:numCache>
            </c:numRef>
          </c:val>
          <c:extLst>
            <c:ext xmlns:c16="http://schemas.microsoft.com/office/drawing/2014/chart" uri="{C3380CC4-5D6E-409C-BE32-E72D297353CC}">
              <c16:uniqueId val="{00000002-4C9D-4CD9-823D-069808FA5ACC}"/>
            </c:ext>
          </c:extLst>
        </c:ser>
        <c:dLbls>
          <c:showLegendKey val="0"/>
          <c:showVal val="0"/>
          <c:showCatName val="0"/>
          <c:showSerName val="0"/>
          <c:showPercent val="0"/>
          <c:showBubbleSize val="0"/>
        </c:dLbls>
        <c:gapWidth val="219"/>
        <c:overlap val="-27"/>
        <c:axId val="239848303"/>
        <c:axId val="239848783"/>
      </c:barChart>
      <c:catAx>
        <c:axId val="239848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848783"/>
        <c:crosses val="autoZero"/>
        <c:auto val="1"/>
        <c:lblAlgn val="ctr"/>
        <c:lblOffset val="100"/>
        <c:noMultiLvlLbl val="0"/>
      </c:catAx>
      <c:valAx>
        <c:axId val="239848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848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 &amp; Slicers.xlsx]Discharge Efficiency!PivotTable7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'Discharge Efficiency'!$B$1:$B$2</c:f>
              <c:strCache>
                <c:ptCount val="1"/>
                <c:pt idx="0">
                  <c:v>Active</c:v>
                </c:pt>
              </c:strCache>
            </c:strRef>
          </c:tx>
          <c:spPr>
            <a:solidFill>
              <a:schemeClr val="accent1"/>
            </a:solidFill>
            <a:ln>
              <a:noFill/>
            </a:ln>
            <a:effectLst/>
          </c:spPr>
          <c:invertIfNegative val="0"/>
          <c:cat>
            <c:strRef>
              <c:f>'Discharge Efficiency'!$A$3:$A$6</c:f>
              <c:strCache>
                <c:ptCount val="3"/>
                <c:pt idx="0">
                  <c:v>Cardiology</c:v>
                </c:pt>
                <c:pt idx="1">
                  <c:v>Neurology</c:v>
                </c:pt>
                <c:pt idx="2">
                  <c:v>Orthopedics</c:v>
                </c:pt>
              </c:strCache>
            </c:strRef>
          </c:cat>
          <c:val>
            <c:numRef>
              <c:f>'Discharge Efficiency'!$B$3:$B$6</c:f>
              <c:numCache>
                <c:formatCode>General</c:formatCode>
                <c:ptCount val="3"/>
                <c:pt idx="0">
                  <c:v>1</c:v>
                </c:pt>
                <c:pt idx="1">
                  <c:v>1</c:v>
                </c:pt>
                <c:pt idx="2">
                  <c:v>1</c:v>
                </c:pt>
              </c:numCache>
            </c:numRef>
          </c:val>
          <c:extLst>
            <c:ext xmlns:c16="http://schemas.microsoft.com/office/drawing/2014/chart" uri="{C3380CC4-5D6E-409C-BE32-E72D297353CC}">
              <c16:uniqueId val="{00000000-1784-4BB7-81CF-DD5C494226AE}"/>
            </c:ext>
          </c:extLst>
        </c:ser>
        <c:ser>
          <c:idx val="1"/>
          <c:order val="1"/>
          <c:tx>
            <c:strRef>
              <c:f>'Discharge Efficiency'!$C$1:$C$2</c:f>
              <c:strCache>
                <c:ptCount val="1"/>
                <c:pt idx="0">
                  <c:v>Discharged</c:v>
                </c:pt>
              </c:strCache>
            </c:strRef>
          </c:tx>
          <c:spPr>
            <a:solidFill>
              <a:schemeClr val="accent2"/>
            </a:solidFill>
            <a:ln>
              <a:noFill/>
            </a:ln>
            <a:effectLst/>
          </c:spPr>
          <c:invertIfNegative val="0"/>
          <c:cat>
            <c:strRef>
              <c:f>'Discharge Efficiency'!$A$3:$A$6</c:f>
              <c:strCache>
                <c:ptCount val="3"/>
                <c:pt idx="0">
                  <c:v>Cardiology</c:v>
                </c:pt>
                <c:pt idx="1">
                  <c:v>Neurology</c:v>
                </c:pt>
                <c:pt idx="2">
                  <c:v>Orthopedics</c:v>
                </c:pt>
              </c:strCache>
            </c:strRef>
          </c:cat>
          <c:val>
            <c:numRef>
              <c:f>'Discharge Efficiency'!$C$3:$C$6</c:f>
              <c:numCache>
                <c:formatCode>General</c:formatCode>
                <c:ptCount val="3"/>
                <c:pt idx="0">
                  <c:v>1</c:v>
                </c:pt>
              </c:numCache>
            </c:numRef>
          </c:val>
          <c:extLst>
            <c:ext xmlns:c16="http://schemas.microsoft.com/office/drawing/2014/chart" uri="{C3380CC4-5D6E-409C-BE32-E72D297353CC}">
              <c16:uniqueId val="{00000006-1784-4BB7-81CF-DD5C494226AE}"/>
            </c:ext>
          </c:extLst>
        </c:ser>
        <c:dLbls>
          <c:showLegendKey val="0"/>
          <c:showVal val="0"/>
          <c:showCatName val="0"/>
          <c:showSerName val="0"/>
          <c:showPercent val="0"/>
          <c:showBubbleSize val="0"/>
        </c:dLbls>
        <c:gapWidth val="219"/>
        <c:overlap val="-27"/>
        <c:axId val="506766447"/>
        <c:axId val="596838879"/>
      </c:barChart>
      <c:catAx>
        <c:axId val="506766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838879"/>
        <c:crosses val="autoZero"/>
        <c:auto val="1"/>
        <c:lblAlgn val="ctr"/>
        <c:lblOffset val="100"/>
        <c:noMultiLvlLbl val="0"/>
      </c:catAx>
      <c:valAx>
        <c:axId val="596838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766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 &amp; Slicers.xlsx]Revenue_View!PivotTable2</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Revenue_View</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Revenue_View!$B$3</c:f>
              <c:strCache>
                <c:ptCount val="1"/>
                <c:pt idx="0">
                  <c:v>Sum of BillAmount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Revenue_View!$A$4:$A$10</c:f>
              <c:strCache>
                <c:ptCount val="6"/>
                <c:pt idx="0">
                  <c:v> </c:v>
                </c:pt>
                <c:pt idx="1">
                  <c:v>Cardiology</c:v>
                </c:pt>
                <c:pt idx="2">
                  <c:v>General</c:v>
                </c:pt>
                <c:pt idx="3">
                  <c:v>Neurology</c:v>
                </c:pt>
                <c:pt idx="4">
                  <c:v>Orthopedics</c:v>
                </c:pt>
                <c:pt idx="5">
                  <c:v>Pediatrics</c:v>
                </c:pt>
              </c:strCache>
            </c:strRef>
          </c:cat>
          <c:val>
            <c:numRef>
              <c:f>Revenue_View!$B$4:$B$10</c:f>
              <c:numCache>
                <c:formatCode>General</c:formatCode>
                <c:ptCount val="6"/>
                <c:pt idx="0">
                  <c:v>35000</c:v>
                </c:pt>
                <c:pt idx="1">
                  <c:v>162500</c:v>
                </c:pt>
                <c:pt idx="2">
                  <c:v>24000</c:v>
                </c:pt>
                <c:pt idx="3">
                  <c:v>220000</c:v>
                </c:pt>
                <c:pt idx="4">
                  <c:v>163500</c:v>
                </c:pt>
                <c:pt idx="5">
                  <c:v>2000</c:v>
                </c:pt>
              </c:numCache>
            </c:numRef>
          </c:val>
          <c:extLst>
            <c:ext xmlns:c16="http://schemas.microsoft.com/office/drawing/2014/chart" uri="{C3380CC4-5D6E-409C-BE32-E72D297353CC}">
              <c16:uniqueId val="{00000007-CCE0-41ED-95A8-53BECDE3EA01}"/>
            </c:ext>
          </c:extLst>
        </c:ser>
        <c:ser>
          <c:idx val="1"/>
          <c:order val="1"/>
          <c:tx>
            <c:strRef>
              <c:f>Revenue_View!$C$3</c:f>
              <c:strCache>
                <c:ptCount val="1"/>
                <c:pt idx="0">
                  <c:v>Average of BillAmount2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Revenue_View!$A$4:$A$10</c:f>
              <c:strCache>
                <c:ptCount val="6"/>
                <c:pt idx="0">
                  <c:v> </c:v>
                </c:pt>
                <c:pt idx="1">
                  <c:v>Cardiology</c:v>
                </c:pt>
                <c:pt idx="2">
                  <c:v>General</c:v>
                </c:pt>
                <c:pt idx="3">
                  <c:v>Neurology</c:v>
                </c:pt>
                <c:pt idx="4">
                  <c:v>Orthopedics</c:v>
                </c:pt>
                <c:pt idx="5">
                  <c:v>Pediatrics</c:v>
                </c:pt>
              </c:strCache>
            </c:strRef>
          </c:cat>
          <c:val>
            <c:numRef>
              <c:f>Revenue_View!$C$4:$C$10</c:f>
              <c:numCache>
                <c:formatCode>General</c:formatCode>
                <c:ptCount val="6"/>
                <c:pt idx="0">
                  <c:v>35000</c:v>
                </c:pt>
                <c:pt idx="1">
                  <c:v>40625</c:v>
                </c:pt>
                <c:pt idx="2">
                  <c:v>8000</c:v>
                </c:pt>
                <c:pt idx="3">
                  <c:v>73333.333333333328</c:v>
                </c:pt>
                <c:pt idx="4">
                  <c:v>54500</c:v>
                </c:pt>
                <c:pt idx="5">
                  <c:v>2000</c:v>
                </c:pt>
              </c:numCache>
            </c:numRef>
          </c:val>
          <c:extLst>
            <c:ext xmlns:c16="http://schemas.microsoft.com/office/drawing/2014/chart" uri="{C3380CC4-5D6E-409C-BE32-E72D297353CC}">
              <c16:uniqueId val="{00000009-CCE0-41ED-95A8-53BECDE3EA01}"/>
            </c:ext>
          </c:extLst>
        </c:ser>
        <c:dLbls>
          <c:dLblPos val="inEnd"/>
          <c:showLegendKey val="0"/>
          <c:showVal val="1"/>
          <c:showCatName val="0"/>
          <c:showSerName val="0"/>
          <c:showPercent val="0"/>
          <c:showBubbleSize val="0"/>
        </c:dLbls>
        <c:gapWidth val="100"/>
        <c:overlap val="-24"/>
        <c:axId val="239845423"/>
        <c:axId val="239818543"/>
      </c:barChart>
      <c:valAx>
        <c:axId val="23981854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39845423"/>
        <c:crosses val="autoZero"/>
        <c:crossBetween val="between"/>
      </c:valAx>
      <c:catAx>
        <c:axId val="23984542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3981854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 &amp; Slicers.xlsx]Patient Load &amp; Capacity!PivotTable4</c:name>
    <c:fmtId val="2"/>
  </c:pivotSource>
  <c:chart>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IN" sz="1400"/>
              <a:t>Patient_Load</a:t>
            </a:r>
            <a:endParaRPr lang="en-US" sz="1400"/>
          </a:p>
        </c:rich>
      </c:tx>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pivotFmt>
      <c:pivotFmt>
        <c:idx val="4"/>
        <c:spPr>
          <a:solidFill>
            <a:schemeClr val="accent1">
              <a:alpha val="85000"/>
            </a:schemeClr>
          </a:solidFill>
          <a:ln w="9525" cap="flat" cmpd="sng" algn="ctr">
            <a:solidFill>
              <a:schemeClr val="lt1">
                <a:alpha val="50000"/>
              </a:schemeClr>
            </a:solidFill>
            <a:round/>
          </a:ln>
          <a:effectLst/>
        </c:spPr>
      </c:pivotFmt>
      <c:pivotFmt>
        <c:idx val="5"/>
        <c:spPr>
          <a:solidFill>
            <a:schemeClr val="accent1">
              <a:alpha val="85000"/>
            </a:schemeClr>
          </a:solidFill>
          <a:ln w="9525" cap="flat" cmpd="sng" algn="ctr">
            <a:solidFill>
              <a:schemeClr val="lt1">
                <a:alpha val="50000"/>
              </a:schemeClr>
            </a:solidFill>
            <a:round/>
          </a:ln>
          <a:effectLst/>
        </c:spPr>
      </c:pivotFmt>
    </c:pivotFmts>
    <c:plotArea>
      <c:layout/>
      <c:pieChart>
        <c:varyColors val="1"/>
        <c:ser>
          <c:idx val="0"/>
          <c:order val="0"/>
          <c:tx>
            <c:strRef>
              <c:f>'Patient Load &amp; Capacity'!$B$2</c:f>
              <c:strCache>
                <c:ptCount val="1"/>
                <c:pt idx="0">
                  <c:v>Total</c:v>
                </c:pt>
              </c:strCache>
            </c:strRef>
          </c:tx>
          <c:dPt>
            <c:idx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1-7AA2-4AD6-9A36-08060E9D775A}"/>
              </c:ext>
            </c:extLst>
          </c:dPt>
          <c:dPt>
            <c:idx val="1"/>
            <c:bubble3D val="0"/>
            <c:spPr>
              <a:solidFill>
                <a:schemeClr val="accent2">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3-7AA2-4AD6-9A36-08060E9D775A}"/>
              </c:ext>
            </c:extLst>
          </c:dPt>
          <c:dPt>
            <c:idx val="2"/>
            <c:bubble3D val="0"/>
            <c:spPr>
              <a:solidFill>
                <a:schemeClr val="accent3">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5-7AA2-4AD6-9A36-08060E9D775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'Patient Load &amp; Capacity'!$A$3:$A$6</c:f>
              <c:strCache>
                <c:ptCount val="3"/>
                <c:pt idx="0">
                  <c:v>Cardiology</c:v>
                </c:pt>
                <c:pt idx="1">
                  <c:v>Neurology</c:v>
                </c:pt>
                <c:pt idx="2">
                  <c:v>Orthopedics</c:v>
                </c:pt>
              </c:strCache>
            </c:strRef>
          </c:cat>
          <c:val>
            <c:numRef>
              <c:f>'Patient Load &amp; Capacity'!$B$3:$B$6</c:f>
              <c:numCache>
                <c:formatCode>General</c:formatCode>
                <c:ptCount val="3"/>
                <c:pt idx="0">
                  <c:v>2</c:v>
                </c:pt>
                <c:pt idx="1">
                  <c:v>1</c:v>
                </c:pt>
                <c:pt idx="2">
                  <c:v>1</c:v>
                </c:pt>
              </c:numCache>
            </c:numRef>
          </c:val>
          <c:extLst>
            <c:ext xmlns:c16="http://schemas.microsoft.com/office/drawing/2014/chart" uri="{C3380CC4-5D6E-409C-BE32-E72D297353CC}">
              <c16:uniqueId val="{00000000-ED1E-4767-AD84-4B3FA77FB99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 &amp; Slicers.xlsx]Insurance_View!PivotTable5</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35163593930371"/>
          <c:y val="0.17800759979629413"/>
          <c:w val="0.79785958911792776"/>
          <c:h val="0.63304814510126528"/>
        </c:manualLayout>
      </c:layout>
      <c:barChart>
        <c:barDir val="col"/>
        <c:grouping val="clustered"/>
        <c:varyColors val="0"/>
        <c:ser>
          <c:idx val="0"/>
          <c:order val="0"/>
          <c:tx>
            <c:strRef>
              <c:f>Insurance_View!$B$1</c:f>
              <c:strCache>
                <c:ptCount val="1"/>
                <c:pt idx="0">
                  <c:v>Sum of BillAmount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Insurance_View!$A$2:$A$3</c:f>
              <c:strCache>
                <c:ptCount val="1"/>
                <c:pt idx="0">
                  <c:v>HDFC Ergo</c:v>
                </c:pt>
              </c:strCache>
            </c:strRef>
          </c:cat>
          <c:val>
            <c:numRef>
              <c:f>Insurance_View!$B$2:$B$3</c:f>
              <c:numCache>
                <c:formatCode>General</c:formatCode>
                <c:ptCount val="1"/>
                <c:pt idx="0">
                  <c:v>219000</c:v>
                </c:pt>
              </c:numCache>
            </c:numRef>
          </c:val>
          <c:extLst>
            <c:ext xmlns:c16="http://schemas.microsoft.com/office/drawing/2014/chart" uri="{C3380CC4-5D6E-409C-BE32-E72D297353CC}">
              <c16:uniqueId val="{00000000-550D-4F86-A127-5E891B761C8F}"/>
            </c:ext>
          </c:extLst>
        </c:ser>
        <c:ser>
          <c:idx val="1"/>
          <c:order val="1"/>
          <c:tx>
            <c:strRef>
              <c:f>Insurance_View!$C$1</c:f>
              <c:strCache>
                <c:ptCount val="1"/>
                <c:pt idx="0">
                  <c:v>Count of PatientID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Insurance_View!$A$2:$A$3</c:f>
              <c:strCache>
                <c:ptCount val="1"/>
                <c:pt idx="0">
                  <c:v>HDFC Ergo</c:v>
                </c:pt>
              </c:strCache>
            </c:strRef>
          </c:cat>
          <c:val>
            <c:numRef>
              <c:f>Insurance_View!$C$2:$C$3</c:f>
              <c:numCache>
                <c:formatCode>General</c:formatCode>
                <c:ptCount val="1"/>
                <c:pt idx="0">
                  <c:v>4</c:v>
                </c:pt>
              </c:numCache>
            </c:numRef>
          </c:val>
          <c:extLst>
            <c:ext xmlns:c16="http://schemas.microsoft.com/office/drawing/2014/chart" uri="{C3380CC4-5D6E-409C-BE32-E72D297353CC}">
              <c16:uniqueId val="{00000001-550D-4F86-A127-5E891B761C8F}"/>
            </c:ext>
          </c:extLst>
        </c:ser>
        <c:dLbls>
          <c:showLegendKey val="0"/>
          <c:showVal val="0"/>
          <c:showCatName val="0"/>
          <c:showSerName val="0"/>
          <c:showPercent val="0"/>
          <c:showBubbleSize val="0"/>
        </c:dLbls>
        <c:gapWidth val="100"/>
        <c:overlap val="-24"/>
        <c:axId val="239848303"/>
        <c:axId val="239848783"/>
      </c:barChart>
      <c:catAx>
        <c:axId val="23984830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848783"/>
        <c:crosses val="autoZero"/>
        <c:auto val="1"/>
        <c:lblAlgn val="ctr"/>
        <c:lblOffset val="100"/>
        <c:noMultiLvlLbl val="0"/>
      </c:catAx>
      <c:valAx>
        <c:axId val="2398487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848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 &amp; Slicers.xlsx]Discharge Efficiency!PivotTable7</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'Discharge Efficiency'!$B$1:$B$2</c:f>
              <c:strCache>
                <c:ptCount val="1"/>
                <c:pt idx="0">
                  <c:v>Active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'Discharge Efficiency'!$A$3:$A$6</c:f>
              <c:strCache>
                <c:ptCount val="3"/>
                <c:pt idx="0">
                  <c:v>Cardiology</c:v>
                </c:pt>
                <c:pt idx="1">
                  <c:v>Neurology</c:v>
                </c:pt>
                <c:pt idx="2">
                  <c:v>Orthopedics</c:v>
                </c:pt>
              </c:strCache>
            </c:strRef>
          </c:cat>
          <c:val>
            <c:numRef>
              <c:f>'Discharge Efficiency'!$B$3:$B$6</c:f>
              <c:numCache>
                <c:formatCode>General</c:formatCode>
                <c:ptCount val="3"/>
                <c:pt idx="0">
                  <c:v>1</c:v>
                </c:pt>
                <c:pt idx="1">
                  <c:v>1</c:v>
                </c:pt>
                <c:pt idx="2">
                  <c:v>1</c:v>
                </c:pt>
              </c:numCache>
            </c:numRef>
          </c:val>
          <c:extLst>
            <c:ext xmlns:c16="http://schemas.microsoft.com/office/drawing/2014/chart" uri="{C3380CC4-5D6E-409C-BE32-E72D297353CC}">
              <c16:uniqueId val="{00000000-1C35-42A8-BA76-F6CFB446E42A}"/>
            </c:ext>
          </c:extLst>
        </c:ser>
        <c:ser>
          <c:idx val="1"/>
          <c:order val="1"/>
          <c:tx>
            <c:strRef>
              <c:f>'Discharge Efficiency'!$C$1:$C$2</c:f>
              <c:strCache>
                <c:ptCount val="1"/>
                <c:pt idx="0">
                  <c:v>Discharged</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'Discharge Efficiency'!$A$3:$A$6</c:f>
              <c:strCache>
                <c:ptCount val="3"/>
                <c:pt idx="0">
                  <c:v>Cardiology</c:v>
                </c:pt>
                <c:pt idx="1">
                  <c:v>Neurology</c:v>
                </c:pt>
                <c:pt idx="2">
                  <c:v>Orthopedics</c:v>
                </c:pt>
              </c:strCache>
            </c:strRef>
          </c:cat>
          <c:val>
            <c:numRef>
              <c:f>'Discharge Efficiency'!$C$3:$C$6</c:f>
              <c:numCache>
                <c:formatCode>General</c:formatCode>
                <c:ptCount val="3"/>
                <c:pt idx="0">
                  <c:v>1</c:v>
                </c:pt>
              </c:numCache>
            </c:numRef>
          </c:val>
          <c:extLst>
            <c:ext xmlns:c16="http://schemas.microsoft.com/office/drawing/2014/chart" uri="{C3380CC4-5D6E-409C-BE32-E72D297353CC}">
              <c16:uniqueId val="{00000005-1C35-42A8-BA76-F6CFB446E42A}"/>
            </c:ext>
          </c:extLst>
        </c:ser>
        <c:dLbls>
          <c:dLblPos val="inEnd"/>
          <c:showLegendKey val="0"/>
          <c:showVal val="1"/>
          <c:showCatName val="0"/>
          <c:showSerName val="0"/>
          <c:showPercent val="0"/>
          <c:showBubbleSize val="0"/>
        </c:dLbls>
        <c:gapWidth val="65"/>
        <c:axId val="506766447"/>
        <c:axId val="596838879"/>
      </c:barChart>
      <c:catAx>
        <c:axId val="50676644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96838879"/>
        <c:crosses val="autoZero"/>
        <c:auto val="1"/>
        <c:lblAlgn val="ctr"/>
        <c:lblOffset val="100"/>
        <c:noMultiLvlLbl val="0"/>
      </c:catAx>
      <c:valAx>
        <c:axId val="5968388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06766447"/>
        <c:crosses val="autoZero"/>
        <c:crossBetween val="between"/>
      </c:valAx>
      <c:spPr>
        <a:noFill/>
        <a:ln w="25400">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107768</xdr:rowOff>
    </xdr:from>
    <xdr:to>
      <xdr:col>3</xdr:col>
      <xdr:colOff>1052649</xdr:colOff>
      <xdr:row>25</xdr:row>
      <xdr:rowOff>75111</xdr:rowOff>
    </xdr:to>
    <xdr:graphicFrame macro="">
      <xdr:nvGraphicFramePr>
        <xdr:cNvPr id="3" name="Chart 2">
          <a:extLst>
            <a:ext uri="{FF2B5EF4-FFF2-40B4-BE49-F238E27FC236}">
              <a16:creationId xmlns:a16="http://schemas.microsoft.com/office/drawing/2014/main" id="{FA81A884-58C5-EDA4-BA5F-E76B4E2F30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10</xdr:row>
      <xdr:rowOff>166254</xdr:rowOff>
    </xdr:from>
    <xdr:to>
      <xdr:col>8</xdr:col>
      <xdr:colOff>360218</xdr:colOff>
      <xdr:row>30</xdr:row>
      <xdr:rowOff>13853</xdr:rowOff>
    </xdr:to>
    <xdr:graphicFrame macro="">
      <xdr:nvGraphicFramePr>
        <xdr:cNvPr id="3" name="Chart 2">
          <a:extLst>
            <a:ext uri="{FF2B5EF4-FFF2-40B4-BE49-F238E27FC236}">
              <a16:creationId xmlns:a16="http://schemas.microsoft.com/office/drawing/2014/main" id="{CBBF8F41-AB01-20FA-1CE0-F6C170D072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89648</xdr:colOff>
      <xdr:row>7</xdr:row>
      <xdr:rowOff>99061</xdr:rowOff>
    </xdr:from>
    <xdr:to>
      <xdr:col>4</xdr:col>
      <xdr:colOff>116541</xdr:colOff>
      <xdr:row>20</xdr:row>
      <xdr:rowOff>97972</xdr:rowOff>
    </xdr:to>
    <xdr:graphicFrame macro="">
      <xdr:nvGraphicFramePr>
        <xdr:cNvPr id="2" name="Chart 1">
          <a:extLst>
            <a:ext uri="{FF2B5EF4-FFF2-40B4-BE49-F238E27FC236}">
              <a16:creationId xmlns:a16="http://schemas.microsoft.com/office/drawing/2014/main" id="{F42B8748-6CA8-1026-E11A-9CCF79C8D2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9</xdr:row>
      <xdr:rowOff>179070</xdr:rowOff>
    </xdr:from>
    <xdr:to>
      <xdr:col>4</xdr:col>
      <xdr:colOff>464820</xdr:colOff>
      <xdr:row>23</xdr:row>
      <xdr:rowOff>0</xdr:rowOff>
    </xdr:to>
    <xdr:graphicFrame macro="">
      <xdr:nvGraphicFramePr>
        <xdr:cNvPr id="3" name="Chart 2">
          <a:extLst>
            <a:ext uri="{FF2B5EF4-FFF2-40B4-BE49-F238E27FC236}">
              <a16:creationId xmlns:a16="http://schemas.microsoft.com/office/drawing/2014/main" id="{E09D7B35-C4F5-6F73-D58E-8153CCDC01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4</xdr:row>
      <xdr:rowOff>2242</xdr:rowOff>
    </xdr:from>
    <xdr:to>
      <xdr:col>6</xdr:col>
      <xdr:colOff>10886</xdr:colOff>
      <xdr:row>32</xdr:row>
      <xdr:rowOff>174171</xdr:rowOff>
    </xdr:to>
    <xdr:graphicFrame macro="">
      <xdr:nvGraphicFramePr>
        <xdr:cNvPr id="2" name="Chart 1">
          <a:extLst>
            <a:ext uri="{FF2B5EF4-FFF2-40B4-BE49-F238E27FC236}">
              <a16:creationId xmlns:a16="http://schemas.microsoft.com/office/drawing/2014/main" id="{E536DA74-AE24-4F3B-B11D-8CEC771DF0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216433</xdr:colOff>
      <xdr:row>4</xdr:row>
      <xdr:rowOff>21773</xdr:rowOff>
    </xdr:from>
    <xdr:to>
      <xdr:col>11</xdr:col>
      <xdr:colOff>489857</xdr:colOff>
      <xdr:row>17</xdr:row>
      <xdr:rowOff>130629</xdr:rowOff>
    </xdr:to>
    <xdr:graphicFrame macro="">
      <xdr:nvGraphicFramePr>
        <xdr:cNvPr id="3" name="Chart 2">
          <a:extLst>
            <a:ext uri="{FF2B5EF4-FFF2-40B4-BE49-F238E27FC236}">
              <a16:creationId xmlns:a16="http://schemas.microsoft.com/office/drawing/2014/main" id="{B85BBDDB-EDA4-4B0C-9FAD-8796AE37D7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185056</xdr:colOff>
      <xdr:row>19</xdr:row>
      <xdr:rowOff>43543</xdr:rowOff>
    </xdr:from>
    <xdr:to>
      <xdr:col>11</xdr:col>
      <xdr:colOff>480059</xdr:colOff>
      <xdr:row>33</xdr:row>
      <xdr:rowOff>5443</xdr:rowOff>
    </xdr:to>
    <xdr:graphicFrame macro="">
      <xdr:nvGraphicFramePr>
        <xdr:cNvPr id="4" name="Chart 3">
          <a:extLst>
            <a:ext uri="{FF2B5EF4-FFF2-40B4-BE49-F238E27FC236}">
              <a16:creationId xmlns:a16="http://schemas.microsoft.com/office/drawing/2014/main" id="{E219FF56-8D61-4412-AB1D-14830EEB8B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152399</xdr:colOff>
      <xdr:row>19</xdr:row>
      <xdr:rowOff>32657</xdr:rowOff>
    </xdr:from>
    <xdr:to>
      <xdr:col>18</xdr:col>
      <xdr:colOff>206829</xdr:colOff>
      <xdr:row>33</xdr:row>
      <xdr:rowOff>0</xdr:rowOff>
    </xdr:to>
    <xdr:graphicFrame macro="">
      <xdr:nvGraphicFramePr>
        <xdr:cNvPr id="5" name="Chart 4">
          <a:extLst>
            <a:ext uri="{FF2B5EF4-FFF2-40B4-BE49-F238E27FC236}">
              <a16:creationId xmlns:a16="http://schemas.microsoft.com/office/drawing/2014/main" id="{6027ADF5-E692-487E-852E-6440617626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22860</xdr:colOff>
      <xdr:row>9</xdr:row>
      <xdr:rowOff>63139</xdr:rowOff>
    </xdr:from>
    <xdr:to>
      <xdr:col>15</xdr:col>
      <xdr:colOff>22860</xdr:colOff>
      <xdr:row>16</xdr:row>
      <xdr:rowOff>163287</xdr:rowOff>
    </xdr:to>
    <mc:AlternateContent xmlns:mc="http://schemas.openxmlformats.org/markup-compatibility/2006" xmlns:a14="http://schemas.microsoft.com/office/drawing/2010/main">
      <mc:Choice Requires="a14">
        <xdr:graphicFrame macro="">
          <xdr:nvGraphicFramePr>
            <xdr:cNvPr id="7" name="Department">
              <a:extLst>
                <a:ext uri="{FF2B5EF4-FFF2-40B4-BE49-F238E27FC236}">
                  <a16:creationId xmlns:a16="http://schemas.microsoft.com/office/drawing/2014/main" id="{68D50B83-00F6-43D9-9C78-F6B7B9AAB42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338060" y="1728653"/>
              <a:ext cx="1828800" cy="13955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188324</xdr:colOff>
      <xdr:row>3</xdr:row>
      <xdr:rowOff>174171</xdr:rowOff>
    </xdr:from>
    <xdr:to>
      <xdr:col>18</xdr:col>
      <xdr:colOff>188324</xdr:colOff>
      <xdr:row>16</xdr:row>
      <xdr:rowOff>174171</xdr:rowOff>
    </xdr:to>
    <mc:AlternateContent xmlns:mc="http://schemas.openxmlformats.org/markup-compatibility/2006" xmlns:a14="http://schemas.microsoft.com/office/drawing/2010/main">
      <mc:Choice Requires="a14">
        <xdr:graphicFrame macro="">
          <xdr:nvGraphicFramePr>
            <xdr:cNvPr id="9" name="InsuranceProvider">
              <a:extLst>
                <a:ext uri="{FF2B5EF4-FFF2-40B4-BE49-F238E27FC236}">
                  <a16:creationId xmlns:a16="http://schemas.microsoft.com/office/drawing/2014/main" id="{80900FCC-F4FF-9C8A-5BF3-6CA670D1C57A}"/>
                </a:ext>
              </a:extLst>
            </xdr:cNvPr>
            <xdr:cNvGraphicFramePr/>
          </xdr:nvGraphicFramePr>
          <xdr:xfrm>
            <a:off x="0" y="0"/>
            <a:ext cx="0" cy="0"/>
          </xdr:xfrm>
          <a:graphic>
            <a:graphicData uri="http://schemas.microsoft.com/office/drawing/2010/slicer">
              <sle:slicer xmlns:sle="http://schemas.microsoft.com/office/drawing/2010/slicer" name="InsuranceProvider"/>
            </a:graphicData>
          </a:graphic>
        </xdr:graphicFrame>
      </mc:Choice>
      <mc:Fallback xmlns="">
        <xdr:sp macro="" textlink="">
          <xdr:nvSpPr>
            <xdr:cNvPr id="0" name=""/>
            <xdr:cNvSpPr>
              <a:spLocks noTextEdit="1"/>
            </xdr:cNvSpPr>
          </xdr:nvSpPr>
          <xdr:spPr>
            <a:xfrm>
              <a:off x="9332324" y="729342"/>
              <a:ext cx="1828800" cy="24057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26126</xdr:colOff>
      <xdr:row>4</xdr:row>
      <xdr:rowOff>1088</xdr:rowOff>
    </xdr:from>
    <xdr:to>
      <xdr:col>15</xdr:col>
      <xdr:colOff>26126</xdr:colOff>
      <xdr:row>8</xdr:row>
      <xdr:rowOff>152400</xdr:rowOff>
    </xdr:to>
    <mc:AlternateContent xmlns:mc="http://schemas.openxmlformats.org/markup-compatibility/2006" xmlns:a14="http://schemas.microsoft.com/office/drawing/2010/main">
      <mc:Choice Requires="a14">
        <xdr:graphicFrame macro="">
          <xdr:nvGraphicFramePr>
            <xdr:cNvPr id="10" name="Status">
              <a:extLst>
                <a:ext uri="{FF2B5EF4-FFF2-40B4-BE49-F238E27FC236}">
                  <a16:creationId xmlns:a16="http://schemas.microsoft.com/office/drawing/2014/main" id="{FE1F969E-81A8-6ABC-80AF-4EDC7A6A386A}"/>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7341326" y="741317"/>
              <a:ext cx="1828800" cy="891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ya Vast" refreshedDate="46028.626260532408" createdVersion="8" refreshedVersion="8" minRefreshableVersion="3" recordCount="15" xr:uid="{153C8EB3-81E7-40AD-9479-339D4A181E75}">
  <cacheSource type="worksheet">
    <worksheetSource name="Table1"/>
  </cacheSource>
  <cacheFields count="8">
    <cacheField name="PatientID" numFmtId="0">
      <sharedItems containsSemiMixedTypes="0" containsString="0" containsNumber="1" containsInteger="1" minValue="101" maxValue="115"/>
    </cacheField>
    <cacheField name="PatientName" numFmtId="0">
      <sharedItems/>
    </cacheField>
    <cacheField name="Department" numFmtId="0">
      <sharedItems count="7">
        <s v=" "/>
        <s v="Cardiology"/>
        <s v="General"/>
        <s v="Neurology"/>
        <s v="Orthopedics"/>
        <s v="Pediatrics"/>
        <s v="Department" u="1"/>
      </sharedItems>
    </cacheField>
    <cacheField name="AdmissionDate" numFmtId="0">
      <sharedItems containsSemiMixedTypes="0" containsString="0" containsNumber="1" containsInteger="1" minValue="46023" maxValue="46034"/>
    </cacheField>
    <cacheField name="PatientType" numFmtId="0">
      <sharedItems/>
    </cacheField>
    <cacheField name="BillAmount" numFmtId="0">
      <sharedItems containsSemiMixedTypes="0" containsString="0" containsNumber="1" containsInteger="1" minValue="800" maxValue="120000"/>
    </cacheField>
    <cacheField name="InsuranceProvider" numFmtId="0">
      <sharedItems count="5">
        <s v="ICICI Lombard"/>
        <s v="HDFC Ergo"/>
        <s v="Star Health"/>
        <s v="None"/>
        <s v="InsuranceProvider" u="1"/>
      </sharedItems>
    </cacheField>
    <cacheField name="Status" numFmtId="0">
      <sharedItems count="3">
        <s v="Discharged"/>
        <s v="Active"/>
        <s v="Status" u="1"/>
      </sharedItems>
    </cacheField>
  </cacheFields>
  <extLst>
    <ext xmlns:x14="http://schemas.microsoft.com/office/spreadsheetml/2009/9/main" uri="{725AE2AE-9491-48be-B2B4-4EB974FC3084}">
      <x14:pivotCacheDefinition pivotCacheId="359472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n v="105"/>
    <s v="Rohan Iyer"/>
    <x v="0"/>
    <n v="46026"/>
    <s v="Inpatient"/>
    <n v="35000"/>
    <x v="0"/>
    <x v="0"/>
  </r>
  <r>
    <n v="109"/>
    <s v="Meera Joshi"/>
    <x v="1"/>
    <n v="46029"/>
    <s v="Inpatient"/>
    <n v="110000"/>
    <x v="0"/>
    <x v="0"/>
  </r>
  <r>
    <n v="101"/>
    <s v="Aarav Sharma"/>
    <x v="1"/>
    <n v="46023"/>
    <s v="Inpatient"/>
    <n v="45000"/>
    <x v="1"/>
    <x v="0"/>
  </r>
  <r>
    <n v="113"/>
    <s v="Priya Das"/>
    <x v="1"/>
    <n v="46032"/>
    <s v="Outpatient"/>
    <n v="4500"/>
    <x v="0"/>
    <x v="0"/>
  </r>
  <r>
    <n v="104"/>
    <s v="Ananya Gupta"/>
    <x v="1"/>
    <n v="46025"/>
    <s v="Outpatient"/>
    <n v="3000"/>
    <x v="1"/>
    <x v="1"/>
  </r>
  <r>
    <n v="115"/>
    <s v="Kavya Shah"/>
    <x v="2"/>
    <n v="46034"/>
    <s v="Inpatient"/>
    <n v="22000"/>
    <x v="2"/>
    <x v="0"/>
  </r>
  <r>
    <n v="110"/>
    <s v="Arjun Nair"/>
    <x v="2"/>
    <n v="46030"/>
    <s v="Outpatient"/>
    <n v="1200"/>
    <x v="2"/>
    <x v="1"/>
  </r>
  <r>
    <n v="107"/>
    <s v="Sana Khan"/>
    <x v="2"/>
    <n v="46028"/>
    <s v="Outpatient"/>
    <n v="800"/>
    <x v="3"/>
    <x v="1"/>
  </r>
  <r>
    <n v="103"/>
    <s v="Diya Verma"/>
    <x v="3"/>
    <n v="46024"/>
    <s v="Inpatient"/>
    <n v="120000"/>
    <x v="2"/>
    <x v="0"/>
  </r>
  <r>
    <n v="108"/>
    <s v="Kabir Singh"/>
    <x v="3"/>
    <n v="46028"/>
    <s v="Inpatient"/>
    <n v="95000"/>
    <x v="1"/>
    <x v="1"/>
  </r>
  <r>
    <n v="114"/>
    <s v="Rahul Kulkarni"/>
    <x v="3"/>
    <n v="46033"/>
    <s v="Outpatient"/>
    <n v="5000"/>
    <x v="3"/>
    <x v="1"/>
  </r>
  <r>
    <n v="106"/>
    <s v="Ishaan Reddy"/>
    <x v="4"/>
    <n v="46027"/>
    <s v="Inpatient"/>
    <n v="85000"/>
    <x v="2"/>
    <x v="0"/>
  </r>
  <r>
    <n v="112"/>
    <s v="Dev Malhotra"/>
    <x v="4"/>
    <n v="46032"/>
    <s v="Inpatient"/>
    <n v="76000"/>
    <x v="1"/>
    <x v="1"/>
  </r>
  <r>
    <n v="102"/>
    <s v="Vihaan Patel"/>
    <x v="4"/>
    <n v="46024"/>
    <s v="Outpatient"/>
    <n v="2500"/>
    <x v="3"/>
    <x v="1"/>
  </r>
  <r>
    <n v="111"/>
    <s v="Zara Fernandez"/>
    <x v="5"/>
    <n v="46031"/>
    <s v="Outpatient"/>
    <n v="2000"/>
    <x v="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2C1338-FF96-476F-A803-6EE0B5D957C4}" name="PivotTable2" cacheId="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3">
  <location ref="A3:C10" firstHeaderRow="0" firstDataRow="1" firstDataCol="1"/>
  <pivotFields count="8">
    <pivotField compact="0" outline="0" subtotalTop="0" showAll="0" defaultSubtotal="0"/>
    <pivotField compact="0" outline="0" subtotalTop="0" showAll="0" defaultSubtotal="0"/>
    <pivotField axis="axisRow" compact="0" outline="0" subtotalTop="0" showAll="0" defaultSubtotal="0">
      <items count="7">
        <item x="0"/>
        <item x="1"/>
        <item m="1" x="6"/>
        <item x="2"/>
        <item x="3"/>
        <item x="4"/>
        <item x="5"/>
      </items>
    </pivotField>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items count="3">
        <item x="1"/>
        <item x="0"/>
        <item m="1" x="2"/>
      </items>
    </pivotField>
  </pivotFields>
  <rowFields count="1">
    <field x="2"/>
  </rowFields>
  <rowItems count="7">
    <i>
      <x/>
    </i>
    <i>
      <x v="1"/>
    </i>
    <i>
      <x v="3"/>
    </i>
    <i>
      <x v="4"/>
    </i>
    <i>
      <x v="5"/>
    </i>
    <i>
      <x v="6"/>
    </i>
    <i t="grand">
      <x/>
    </i>
  </rowItems>
  <colFields count="1">
    <field x="-2"/>
  </colFields>
  <colItems count="2">
    <i>
      <x/>
    </i>
    <i i="1">
      <x v="1"/>
    </i>
  </colItems>
  <dataFields count="2">
    <dataField name="Sum of BillAmount" fld="5" baseField="0" baseItem="0"/>
    <dataField name="Average of BillAmount2" fld="5" subtotal="average" baseField="0" baseItem="0"/>
  </dataFields>
  <chartFormats count="4">
    <chartFormat chart="18" format="0" series="1">
      <pivotArea type="data" outline="0" fieldPosition="0">
        <references count="1">
          <reference field="4294967294" count="1" selected="0">
            <x v="0"/>
          </reference>
        </references>
      </pivotArea>
    </chartFormat>
    <chartFormat chart="7" format="13"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1"/>
          </reference>
        </references>
      </pivotArea>
    </chartFormat>
    <chartFormat chart="7" format="1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3039C7-53D6-40F4-AA33-A0394782A747}"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B6" firstHeaderRow="1" firstDataRow="1" firstDataCol="1"/>
  <pivotFields count="8">
    <pivotField dataField="1" showAll="0"/>
    <pivotField showAll="0"/>
    <pivotField axis="axisRow" showAll="0">
      <items count="8">
        <item x="0"/>
        <item x="1"/>
        <item m="1" x="6"/>
        <item x="2"/>
        <item x="3"/>
        <item x="4"/>
        <item x="5"/>
        <item t="default"/>
      </items>
    </pivotField>
    <pivotField showAll="0"/>
    <pivotField showAll="0"/>
    <pivotField showAll="0"/>
    <pivotField showAll="0">
      <items count="6">
        <item x="1"/>
        <item h="1" x="0"/>
        <item h="1" m="1" x="4"/>
        <item h="1" x="3"/>
        <item h="1" x="2"/>
        <item t="default"/>
      </items>
    </pivotField>
    <pivotField showAll="0">
      <items count="4">
        <item x="1"/>
        <item x="0"/>
        <item m="1" x="2"/>
        <item t="default"/>
      </items>
    </pivotField>
  </pivotFields>
  <rowFields count="1">
    <field x="2"/>
  </rowFields>
  <rowItems count="4">
    <i>
      <x v="1"/>
    </i>
    <i>
      <x v="4"/>
    </i>
    <i>
      <x v="5"/>
    </i>
    <i t="grand">
      <x/>
    </i>
  </rowItems>
  <colItems count="1">
    <i/>
  </colItems>
  <dataFields count="1">
    <dataField name="Count of PatientID" fld="0" subtotal="count" baseField="0" baseItem="0"/>
  </dataFields>
  <chartFormats count="6">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 count="1" selected="0">
            <x v="1"/>
          </reference>
        </references>
      </pivotArea>
    </chartFormat>
    <chartFormat chart="2" format="4">
      <pivotArea type="data" outline="0" fieldPosition="0">
        <references count="2">
          <reference field="4294967294" count="1" selected="0">
            <x v="0"/>
          </reference>
          <reference field="2" count="1" selected="0">
            <x v="4"/>
          </reference>
        </references>
      </pivotArea>
    </chartFormat>
    <chartFormat chart="2" format="5">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703454-0F93-48A1-8594-EDB7D75CC28C}"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C3" firstHeaderRow="0" firstDataRow="1" firstDataCol="1"/>
  <pivotFields count="8">
    <pivotField dataField="1" showAll="0"/>
    <pivotField showAll="0"/>
    <pivotField showAll="0"/>
    <pivotField showAll="0"/>
    <pivotField showAll="0"/>
    <pivotField dataField="1" showAll="0"/>
    <pivotField axis="axisRow" showAll="0">
      <items count="6">
        <item x="1"/>
        <item h="1" x="0"/>
        <item h="1" m="1" x="4"/>
        <item h="1" x="3"/>
        <item h="1" x="2"/>
        <item t="default"/>
      </items>
    </pivotField>
    <pivotField showAll="0">
      <items count="4">
        <item x="1"/>
        <item x="0"/>
        <item m="1" x="2"/>
        <item t="default"/>
      </items>
    </pivotField>
  </pivotFields>
  <rowFields count="1">
    <field x="6"/>
  </rowFields>
  <rowItems count="2">
    <i>
      <x/>
    </i>
    <i t="grand">
      <x/>
    </i>
  </rowItems>
  <colFields count="1">
    <field x="-2"/>
  </colFields>
  <colItems count="2">
    <i>
      <x/>
    </i>
    <i i="1">
      <x v="1"/>
    </i>
  </colItems>
  <dataFields count="2">
    <dataField name="Sum of BillAmount" fld="5" baseField="6" baseItem="0"/>
    <dataField name="Count of PatientID" fld="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431EA19-B62A-4FA9-815D-CE2FD29AE0E5}" name="PivotTable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D6" firstHeaderRow="1" firstDataRow="2" firstDataCol="1"/>
  <pivotFields count="8">
    <pivotField dataField="1" showAll="0"/>
    <pivotField showAll="0"/>
    <pivotField axis="axisRow" showAll="0">
      <items count="8">
        <item x="0"/>
        <item x="1"/>
        <item m="1" x="6"/>
        <item x="2"/>
        <item x="3"/>
        <item x="4"/>
        <item x="5"/>
        <item t="default"/>
      </items>
    </pivotField>
    <pivotField showAll="0"/>
    <pivotField showAll="0"/>
    <pivotField showAll="0"/>
    <pivotField showAll="0">
      <items count="6">
        <item x="1"/>
        <item h="1" x="0"/>
        <item h="1" m="1" x="4"/>
        <item h="1" x="3"/>
        <item h="1" x="2"/>
        <item t="default"/>
      </items>
    </pivotField>
    <pivotField axis="axisCol" showAll="0">
      <items count="4">
        <item x="1"/>
        <item x="0"/>
        <item m="1" x="2"/>
        <item t="default"/>
      </items>
    </pivotField>
  </pivotFields>
  <rowFields count="1">
    <field x="2"/>
  </rowFields>
  <rowItems count="4">
    <i>
      <x v="1"/>
    </i>
    <i>
      <x v="4"/>
    </i>
    <i>
      <x v="5"/>
    </i>
    <i t="grand">
      <x/>
    </i>
  </rowItems>
  <colFields count="1">
    <field x="7"/>
  </colFields>
  <colItems count="3">
    <i>
      <x/>
    </i>
    <i>
      <x v="1"/>
    </i>
    <i t="grand">
      <x/>
    </i>
  </colItems>
  <dataFields count="1">
    <dataField name="Count of PatientID"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2" format="5" series="1">
      <pivotArea type="data" outline="0" fieldPosition="0">
        <references count="2">
          <reference field="4294967294" count="1" selected="0">
            <x v="0"/>
          </reference>
          <reference field="7" count="1" selected="0">
            <x v="0"/>
          </reference>
        </references>
      </pivotArea>
    </chartFormat>
    <chartFormat chart="2" format="6" series="1">
      <pivotArea type="data" outline="0" fieldPosition="0">
        <references count="2">
          <reference field="4294967294" count="1" selected="0">
            <x v="0"/>
          </reference>
          <reference field="7" count="1" selected="0">
            <x v="1"/>
          </reference>
        </references>
      </pivotArea>
    </chartFormat>
    <chartFormat chart="0" format="3" series="1">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8F65D6C-4EC2-496A-9C2C-9E087BE21B30}" sourceName="Department">
  <pivotTables>
    <pivotTable tabId="3" name="PivotTable4"/>
  </pivotTables>
  <data>
    <tabular pivotCacheId="35947234">
      <items count="7">
        <i x="1" s="1"/>
        <i x="3" s="1"/>
        <i x="4" s="1"/>
        <i x="0" s="1" nd="1"/>
        <i x="6" s="1" nd="1"/>
        <i x="2" s="1" nd="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uranceProvider" xr10:uid="{7777325E-0F6A-4416-B27F-7D194B5E146B}" sourceName="InsuranceProvider">
  <pivotTables>
    <pivotTable tabId="3" name="PivotTable4"/>
    <pivotTable tabId="5" name="PivotTable7"/>
    <pivotTable tabId="4" name="PivotTable5"/>
  </pivotTables>
  <data>
    <tabular pivotCacheId="35947234">
      <items count="5">
        <i x="1" s="1"/>
        <i x="0"/>
        <i x="3"/>
        <i x="2"/>
        <i x="4"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DEBAD68C-41F1-4842-952A-1CD406323274}" sourceName="Status">
  <pivotTables>
    <pivotTable tabId="3" name="PivotTable4"/>
    <pivotTable tabId="5" name="PivotTable7"/>
    <pivotTable tabId="4" name="PivotTable5"/>
    <pivotTable tabId="2" name="PivotTable2"/>
  </pivotTables>
  <data>
    <tabular pivotCacheId="35947234">
      <items count="3">
        <i x="1" s="1"/>
        <i x="0"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ED6F1811-7EC9-4427-B08C-849D400C6C52}" cache="Slicer_Department" caption="Department" rowHeight="234950"/>
  <slicer name="InsuranceProvider" xr10:uid="{6DAA7D73-B890-4D1E-B337-B9D9BC52ADBC}" cache="Slicer_InsuranceProvider" caption="InsuranceProvider" rowHeight="234950"/>
  <slicer name="Status" xr10:uid="{FF5B21D6-727A-48F9-BE91-26F17B25FA73}" cache="Slicer_Status" caption="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17384BD-1DB2-42EE-9EBB-29BEFB4FE81A}" name="Table1" displayName="Table1" ref="A2:I17" totalsRowShown="0" headerRowBorderDxfId="1" headerRowCellStyle="Normal" dataCellStyle="Normal">
  <autoFilter ref="A2:I17" xr:uid="{F17384BD-1DB2-42EE-9EBB-29BEFB4FE81A}"/>
  <tableColumns count="9">
    <tableColumn id="1" xr3:uid="{02B777BA-9299-4B2B-9EB8-5AED89A72FAA}" name="PatientID" dataCellStyle="Normal"/>
    <tableColumn id="2" xr3:uid="{3AB7BFF7-680C-4E72-846A-3E1F6F9EB162}" name="PatientName" dataCellStyle="Normal"/>
    <tableColumn id="3" xr3:uid="{8CD903C0-BF03-478F-B982-090461DA97E5}" name="Department" dataCellStyle="Normal"/>
    <tableColumn id="4" xr3:uid="{F2415089-17E0-4725-BB58-179E5BD12292}" name="AdmissionDate" dataCellStyle="Normal"/>
    <tableColumn id="5" xr3:uid="{1B668573-9124-404E-BA29-B0A851278CFE}" name="PatientType" dataCellStyle="Normal"/>
    <tableColumn id="6" xr3:uid="{81FCD96E-FA46-4852-8ED0-022257568AC8}" name="BillAmount" dataCellStyle="Normal"/>
    <tableColumn id="7" xr3:uid="{678EF9E3-0D98-4AF0-9EE6-DE8F5069FA07}" name="InsuranceProvider" dataCellStyle="Normal"/>
    <tableColumn id="8" xr3:uid="{48D11313-91B8-47FE-B91B-7D8957540240}" name="Status" dataCellStyle="Normal"/>
    <tableColumn id="9" xr3:uid="{5D538769-1521-475B-9403-C63BD6F258DA}" name="Bill category " dataDxfId="0" dataCellStyle="Normal">
      <calculatedColumnFormula>IF(Table1[[#This Row],[BillAmount]]&gt;=80000,"HIGH VALUE",IF(Table1[[#This Row],[BillAmount]]&gt;=30000,"MEDIUM VALUE","LOW VALUE"))</calculatedColumnFormula>
    </tableColumn>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5856D-D8C3-4506-8E31-72820A667CC4}">
  <dimension ref="A1:I26"/>
  <sheetViews>
    <sheetView zoomScaleNormal="100" workbookViewId="0">
      <selection activeCell="L5" sqref="L5"/>
    </sheetView>
  </sheetViews>
  <sheetFormatPr defaultRowHeight="14.4" x14ac:dyDescent="0.3"/>
  <cols>
    <col min="1" max="1" width="12" customWidth="1"/>
    <col min="2" max="2" width="13.44140625" bestFit="1" customWidth="1"/>
    <col min="3" max="3" width="11.109375" bestFit="1" customWidth="1"/>
    <col min="4" max="4" width="13.21875" bestFit="1" customWidth="1"/>
    <col min="5" max="5" width="13.33203125" bestFit="1" customWidth="1"/>
    <col min="6" max="6" width="11.5546875" customWidth="1"/>
    <col min="7" max="7" width="15.77734375" bestFit="1" customWidth="1"/>
    <col min="8" max="8" width="10.44140625" customWidth="1"/>
    <col min="9" max="9" width="14.5546875" bestFit="1" customWidth="1"/>
  </cols>
  <sheetData>
    <row r="1" spans="1:9" x14ac:dyDescent="0.3">
      <c r="A1" s="10" t="s">
        <v>41</v>
      </c>
      <c r="B1" s="10"/>
      <c r="C1" s="10"/>
      <c r="D1" s="10"/>
      <c r="E1" s="10"/>
      <c r="F1" s="10"/>
      <c r="G1" s="10"/>
      <c r="H1" s="10"/>
      <c r="I1" t="s">
        <v>49</v>
      </c>
    </row>
    <row r="2" spans="1:9" x14ac:dyDescent="0.3">
      <c r="A2" t="s">
        <v>0</v>
      </c>
      <c r="B2" t="s">
        <v>1</v>
      </c>
      <c r="C2" t="s">
        <v>2</v>
      </c>
      <c r="D2" t="s">
        <v>3</v>
      </c>
      <c r="E2" t="s">
        <v>4</v>
      </c>
      <c r="F2" t="s">
        <v>5</v>
      </c>
      <c r="G2" t="s">
        <v>6</v>
      </c>
      <c r="H2" t="s">
        <v>7</v>
      </c>
      <c r="I2" s="7" t="s">
        <v>48</v>
      </c>
    </row>
    <row r="3" spans="1:9" x14ac:dyDescent="0.3">
      <c r="A3">
        <v>105</v>
      </c>
      <c r="B3" t="s">
        <v>22</v>
      </c>
      <c r="C3" t="s">
        <v>36</v>
      </c>
      <c r="D3">
        <v>46026</v>
      </c>
      <c r="E3" t="s">
        <v>10</v>
      </c>
      <c r="F3">
        <v>35000</v>
      </c>
      <c r="G3" t="s">
        <v>24</v>
      </c>
      <c r="H3" t="s">
        <v>12</v>
      </c>
      <c r="I3" t="str">
        <f>IF(Table1[[#This Row],[BillAmount]]&gt;=80000,"HIGH VALUE",IF(Table1[[#This Row],[BillAmount]]&gt;=30000,"MEDIUM VALUE","LOW VALUE"))</f>
        <v>MEDIUM VALUE</v>
      </c>
    </row>
    <row r="4" spans="1:9" x14ac:dyDescent="0.3">
      <c r="A4">
        <v>109</v>
      </c>
      <c r="B4" t="s">
        <v>29</v>
      </c>
      <c r="C4" t="s">
        <v>9</v>
      </c>
      <c r="D4">
        <v>46029</v>
      </c>
      <c r="E4" t="s">
        <v>10</v>
      </c>
      <c r="F4">
        <v>110000</v>
      </c>
      <c r="G4" t="s">
        <v>24</v>
      </c>
      <c r="H4" t="s">
        <v>12</v>
      </c>
      <c r="I4" t="str">
        <f>IF(Table1[[#This Row],[BillAmount]]&gt;=80000,"HIGH VALUE",IF(Table1[[#This Row],[BillAmount]]&gt;=30000,"MEDIUM VALUE","LOW VALUE"))</f>
        <v>HIGH VALUE</v>
      </c>
    </row>
    <row r="5" spans="1:9" x14ac:dyDescent="0.3">
      <c r="A5">
        <v>101</v>
      </c>
      <c r="B5" t="s">
        <v>8</v>
      </c>
      <c r="C5" t="s">
        <v>9</v>
      </c>
      <c r="D5">
        <v>46023</v>
      </c>
      <c r="E5" t="s">
        <v>10</v>
      </c>
      <c r="F5">
        <v>45000</v>
      </c>
      <c r="G5" t="s">
        <v>11</v>
      </c>
      <c r="H5" t="s">
        <v>12</v>
      </c>
      <c r="I5" t="str">
        <f>IF(Table1[[#This Row],[BillAmount]]&gt;=80000,"HIGH VALUE",IF(Table1[[#This Row],[BillAmount]]&gt;=30000,"MEDIUM VALUE","LOW VALUE"))</f>
        <v>MEDIUM VALUE</v>
      </c>
    </row>
    <row r="6" spans="1:9" x14ac:dyDescent="0.3">
      <c r="A6">
        <v>113</v>
      </c>
      <c r="B6" t="s">
        <v>33</v>
      </c>
      <c r="C6" t="s">
        <v>9</v>
      </c>
      <c r="D6">
        <v>46032</v>
      </c>
      <c r="E6" t="s">
        <v>15</v>
      </c>
      <c r="F6">
        <v>4500</v>
      </c>
      <c r="G6" t="s">
        <v>24</v>
      </c>
      <c r="H6" t="s">
        <v>12</v>
      </c>
      <c r="I6" t="str">
        <f>IF(Table1[[#This Row],[BillAmount]]&gt;=80000,"HIGH VALUE",IF(Table1[[#This Row],[BillAmount]]&gt;=30000,"MEDIUM VALUE","LOW VALUE"))</f>
        <v>LOW VALUE</v>
      </c>
    </row>
    <row r="7" spans="1:9" x14ac:dyDescent="0.3">
      <c r="A7">
        <v>104</v>
      </c>
      <c r="B7" t="s">
        <v>21</v>
      </c>
      <c r="C7" t="s">
        <v>9</v>
      </c>
      <c r="D7">
        <v>46025</v>
      </c>
      <c r="E7" t="s">
        <v>15</v>
      </c>
      <c r="F7">
        <v>3000</v>
      </c>
      <c r="G7" t="s">
        <v>11</v>
      </c>
      <c r="H7" t="s">
        <v>17</v>
      </c>
      <c r="I7" t="str">
        <f>IF(Table1[[#This Row],[BillAmount]]&gt;=80000,"HIGH VALUE",IF(Table1[[#This Row],[BillAmount]]&gt;=30000,"MEDIUM VALUE","LOW VALUE"))</f>
        <v>LOW VALUE</v>
      </c>
    </row>
    <row r="8" spans="1:9" x14ac:dyDescent="0.3">
      <c r="A8">
        <v>115</v>
      </c>
      <c r="B8" t="s">
        <v>35</v>
      </c>
      <c r="C8" t="s">
        <v>27</v>
      </c>
      <c r="D8">
        <v>46034</v>
      </c>
      <c r="E8" t="s">
        <v>10</v>
      </c>
      <c r="F8">
        <v>22000</v>
      </c>
      <c r="G8" t="s">
        <v>20</v>
      </c>
      <c r="H8" t="s">
        <v>12</v>
      </c>
      <c r="I8" t="str">
        <f>IF(Table1[[#This Row],[BillAmount]]&gt;=80000,"HIGH VALUE",IF(Table1[[#This Row],[BillAmount]]&gt;=30000,"MEDIUM VALUE","LOW VALUE"))</f>
        <v>LOW VALUE</v>
      </c>
    </row>
    <row r="9" spans="1:9" x14ac:dyDescent="0.3">
      <c r="A9">
        <v>110</v>
      </c>
      <c r="B9" t="s">
        <v>30</v>
      </c>
      <c r="C9" t="s">
        <v>27</v>
      </c>
      <c r="D9">
        <v>46030</v>
      </c>
      <c r="E9" t="s">
        <v>15</v>
      </c>
      <c r="F9">
        <v>1200</v>
      </c>
      <c r="G9" t="s">
        <v>20</v>
      </c>
      <c r="H9" t="s">
        <v>17</v>
      </c>
      <c r="I9" t="str">
        <f>IF(Table1[[#This Row],[BillAmount]]&gt;=80000,"HIGH VALUE",IF(Table1[[#This Row],[BillAmount]]&gt;=30000,"MEDIUM VALUE","LOW VALUE"))</f>
        <v>LOW VALUE</v>
      </c>
    </row>
    <row r="10" spans="1:9" x14ac:dyDescent="0.3">
      <c r="A10">
        <v>107</v>
      </c>
      <c r="B10" t="s">
        <v>26</v>
      </c>
      <c r="C10" t="s">
        <v>27</v>
      </c>
      <c r="D10">
        <v>46028</v>
      </c>
      <c r="E10" t="s">
        <v>15</v>
      </c>
      <c r="F10">
        <v>800</v>
      </c>
      <c r="G10" t="s">
        <v>16</v>
      </c>
      <c r="H10" t="s">
        <v>17</v>
      </c>
      <c r="I10" t="str">
        <f>IF(Table1[[#This Row],[BillAmount]]&gt;=80000,"HIGH VALUE",IF(Table1[[#This Row],[BillAmount]]&gt;=30000,"MEDIUM VALUE","LOW VALUE"))</f>
        <v>LOW VALUE</v>
      </c>
    </row>
    <row r="11" spans="1:9" x14ac:dyDescent="0.3">
      <c r="A11">
        <v>103</v>
      </c>
      <c r="B11" t="s">
        <v>18</v>
      </c>
      <c r="C11" t="s">
        <v>19</v>
      </c>
      <c r="D11">
        <v>46024</v>
      </c>
      <c r="E11" t="s">
        <v>10</v>
      </c>
      <c r="F11">
        <v>120000</v>
      </c>
      <c r="G11" t="s">
        <v>20</v>
      </c>
      <c r="H11" t="s">
        <v>12</v>
      </c>
      <c r="I11" t="str">
        <f>IF(Table1[[#This Row],[BillAmount]]&gt;=80000,"HIGH VALUE",IF(Table1[[#This Row],[BillAmount]]&gt;=30000,"MEDIUM VALUE","LOW VALUE"))</f>
        <v>HIGH VALUE</v>
      </c>
    </row>
    <row r="12" spans="1:9" x14ac:dyDescent="0.3">
      <c r="A12">
        <v>108</v>
      </c>
      <c r="B12" t="s">
        <v>28</v>
      </c>
      <c r="C12" t="s">
        <v>19</v>
      </c>
      <c r="D12">
        <v>46028</v>
      </c>
      <c r="E12" t="s">
        <v>10</v>
      </c>
      <c r="F12">
        <v>95000</v>
      </c>
      <c r="G12" t="s">
        <v>11</v>
      </c>
      <c r="H12" t="s">
        <v>17</v>
      </c>
      <c r="I12" t="str">
        <f>IF(Table1[[#This Row],[BillAmount]]&gt;=80000,"HIGH VALUE",IF(Table1[[#This Row],[BillAmount]]&gt;=30000,"MEDIUM VALUE","LOW VALUE"))</f>
        <v>HIGH VALUE</v>
      </c>
    </row>
    <row r="13" spans="1:9" x14ac:dyDescent="0.3">
      <c r="A13">
        <v>114</v>
      </c>
      <c r="B13" t="s">
        <v>34</v>
      </c>
      <c r="C13" t="s">
        <v>19</v>
      </c>
      <c r="D13">
        <v>46033</v>
      </c>
      <c r="E13" t="s">
        <v>15</v>
      </c>
      <c r="F13">
        <v>5000</v>
      </c>
      <c r="G13" t="s">
        <v>16</v>
      </c>
      <c r="H13" t="s">
        <v>17</v>
      </c>
      <c r="I13" t="str">
        <f>IF(Table1[[#This Row],[BillAmount]]&gt;=80000,"HIGH VALUE",IF(Table1[[#This Row],[BillAmount]]&gt;=30000,"MEDIUM VALUE","LOW VALUE"))</f>
        <v>LOW VALUE</v>
      </c>
    </row>
    <row r="14" spans="1:9" x14ac:dyDescent="0.3">
      <c r="A14">
        <v>106</v>
      </c>
      <c r="B14" t="s">
        <v>25</v>
      </c>
      <c r="C14" t="s">
        <v>14</v>
      </c>
      <c r="D14">
        <v>46027</v>
      </c>
      <c r="E14" t="s">
        <v>10</v>
      </c>
      <c r="F14">
        <v>85000</v>
      </c>
      <c r="G14" t="s">
        <v>20</v>
      </c>
      <c r="H14" t="s">
        <v>12</v>
      </c>
      <c r="I14" t="str">
        <f>IF(Table1[[#This Row],[BillAmount]]&gt;=80000,"HIGH VALUE",IF(Table1[[#This Row],[BillAmount]]&gt;=30000,"MEDIUM VALUE","LOW VALUE"))</f>
        <v>HIGH VALUE</v>
      </c>
    </row>
    <row r="15" spans="1:9" x14ac:dyDescent="0.3">
      <c r="A15">
        <v>112</v>
      </c>
      <c r="B15" t="s">
        <v>32</v>
      </c>
      <c r="C15" t="s">
        <v>14</v>
      </c>
      <c r="D15">
        <v>46032</v>
      </c>
      <c r="E15" t="s">
        <v>10</v>
      </c>
      <c r="F15">
        <v>76000</v>
      </c>
      <c r="G15" t="s">
        <v>11</v>
      </c>
      <c r="H15" t="s">
        <v>17</v>
      </c>
      <c r="I15" t="str">
        <f>IF(Table1[[#This Row],[BillAmount]]&gt;=80000,"HIGH VALUE",IF(Table1[[#This Row],[BillAmount]]&gt;=30000,"MEDIUM VALUE","LOW VALUE"))</f>
        <v>MEDIUM VALUE</v>
      </c>
    </row>
    <row r="16" spans="1:9" x14ac:dyDescent="0.3">
      <c r="A16">
        <v>102</v>
      </c>
      <c r="B16" t="s">
        <v>13</v>
      </c>
      <c r="C16" t="s">
        <v>14</v>
      </c>
      <c r="D16">
        <v>46024</v>
      </c>
      <c r="E16" t="s">
        <v>15</v>
      </c>
      <c r="F16">
        <v>2500</v>
      </c>
      <c r="G16" t="s">
        <v>16</v>
      </c>
      <c r="H16" t="s">
        <v>17</v>
      </c>
      <c r="I16" t="str">
        <f>IF(Table1[[#This Row],[BillAmount]]&gt;=80000,"HIGH VALUE",IF(Table1[[#This Row],[BillAmount]]&gt;=30000,"MEDIUM VALUE","LOW VALUE"))</f>
        <v>LOW VALUE</v>
      </c>
    </row>
    <row r="17" spans="1:9" x14ac:dyDescent="0.3">
      <c r="A17">
        <v>111</v>
      </c>
      <c r="B17" t="s">
        <v>31</v>
      </c>
      <c r="C17" t="s">
        <v>23</v>
      </c>
      <c r="D17">
        <v>46031</v>
      </c>
      <c r="E17" t="s">
        <v>15</v>
      </c>
      <c r="F17">
        <v>2000</v>
      </c>
      <c r="G17" t="s">
        <v>16</v>
      </c>
      <c r="H17" t="s">
        <v>12</v>
      </c>
      <c r="I17" t="str">
        <f>IF(Table1[[#This Row],[BillAmount]]&gt;=80000,"HIGH VALUE",IF(Table1[[#This Row],[BillAmount]]&gt;=30000,"MEDIUM VALUE","LOW VALUE"))</f>
        <v>LOW VALUE</v>
      </c>
    </row>
    <row r="19" spans="1:9" x14ac:dyDescent="0.3">
      <c r="A19" s="1"/>
    </row>
    <row r="20" spans="1:9" x14ac:dyDescent="0.3">
      <c r="A20" s="1" t="s">
        <v>44</v>
      </c>
      <c r="B20" s="9" t="s">
        <v>45</v>
      </c>
      <c r="C20" s="9"/>
      <c r="D20" s="9"/>
      <c r="E20" t="s">
        <v>2</v>
      </c>
      <c r="F20" t="s">
        <v>23</v>
      </c>
    </row>
    <row r="21" spans="1:9" x14ac:dyDescent="0.3">
      <c r="B21" s="8">
        <f>SUMIFS(Table1[BillAmount],Table1[Department],$F$20,Table1[PatientType],$F$21)</f>
        <v>2000</v>
      </c>
      <c r="C21" s="8"/>
      <c r="E21" t="s">
        <v>4</v>
      </c>
      <c r="F21" t="s">
        <v>15</v>
      </c>
    </row>
    <row r="23" spans="1:9" x14ac:dyDescent="0.3">
      <c r="A23" s="1" t="s">
        <v>46</v>
      </c>
      <c r="B23" s="11" t="s">
        <v>47</v>
      </c>
      <c r="C23" s="11"/>
      <c r="D23" s="11"/>
      <c r="E23" t="s">
        <v>2</v>
      </c>
      <c r="F23" t="s">
        <v>19</v>
      </c>
    </row>
    <row r="24" spans="1:9" ht="22.8" customHeight="1" x14ac:dyDescent="0.3">
      <c r="B24" s="8">
        <f>COUNTIFS(Table1[Department],$F$23,Table1[Status],$F$24)</f>
        <v>1</v>
      </c>
      <c r="C24" s="8"/>
      <c r="E24" t="s">
        <v>7</v>
      </c>
      <c r="F24" t="s">
        <v>12</v>
      </c>
    </row>
    <row r="26" spans="1:9" x14ac:dyDescent="0.3">
      <c r="A26" s="1"/>
      <c r="B26" s="9"/>
      <c r="C26" s="9"/>
      <c r="D26" s="9"/>
    </row>
  </sheetData>
  <mergeCells count="6">
    <mergeCell ref="B24:C24"/>
    <mergeCell ref="B20:D20"/>
    <mergeCell ref="B26:D26"/>
    <mergeCell ref="A1:H1"/>
    <mergeCell ref="B21:C21"/>
    <mergeCell ref="B23:D23"/>
  </mergeCells>
  <phoneticPr fontId="4" type="noConversion"/>
  <dataValidations count="3">
    <dataValidation type="list" allowBlank="1" showInputMessage="1" showErrorMessage="1" sqref="F21" xr:uid="{BAD03405-AB48-4FDB-A6EE-E8D47445B981}">
      <formula1>$E$3:$E$17</formula1>
    </dataValidation>
    <dataValidation type="list" allowBlank="1" showInputMessage="1" showErrorMessage="1" sqref="F20" xr:uid="{59DD04CD-299A-42B2-ADF0-41E951B3DDAD}">
      <formula1>$C$4:$C$17</formula1>
    </dataValidation>
    <dataValidation type="list" allowBlank="1" showInputMessage="1" showErrorMessage="1" sqref="F24" xr:uid="{FA0DB12E-91B8-4D0A-A077-B2E19CC3B017}">
      <formula1>$H$3:$H$17</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BF485-63A6-4CCB-91A1-4CFB2178685C}">
  <dimension ref="A3:C10"/>
  <sheetViews>
    <sheetView zoomScaleNormal="100" workbookViewId="0">
      <selection activeCell="G14" sqref="G14"/>
    </sheetView>
  </sheetViews>
  <sheetFormatPr defaultRowHeight="14.4" x14ac:dyDescent="0.3"/>
  <cols>
    <col min="1" max="1" width="13.33203125" bestFit="1" customWidth="1"/>
    <col min="2" max="2" width="16.88671875" bestFit="1" customWidth="1"/>
    <col min="3" max="3" width="21.109375" bestFit="1" customWidth="1"/>
    <col min="4" max="5" width="20.88671875" bestFit="1" customWidth="1"/>
    <col min="6" max="6" width="22.33203125" bestFit="1" customWidth="1"/>
    <col min="7" max="7" width="25.77734375" bestFit="1" customWidth="1"/>
  </cols>
  <sheetData>
    <row r="3" spans="1:3" x14ac:dyDescent="0.3">
      <c r="A3" s="2" t="s">
        <v>2</v>
      </c>
      <c r="B3" t="s">
        <v>40</v>
      </c>
      <c r="C3" t="s">
        <v>42</v>
      </c>
    </row>
    <row r="4" spans="1:3" x14ac:dyDescent="0.3">
      <c r="A4" t="s">
        <v>36</v>
      </c>
      <c r="B4">
        <v>35000</v>
      </c>
      <c r="C4">
        <v>35000</v>
      </c>
    </row>
    <row r="5" spans="1:3" x14ac:dyDescent="0.3">
      <c r="A5" t="s">
        <v>9</v>
      </c>
      <c r="B5">
        <v>162500</v>
      </c>
      <c r="C5">
        <v>40625</v>
      </c>
    </row>
    <row r="6" spans="1:3" x14ac:dyDescent="0.3">
      <c r="A6" t="s">
        <v>27</v>
      </c>
      <c r="B6">
        <v>24000</v>
      </c>
      <c r="C6">
        <v>8000</v>
      </c>
    </row>
    <row r="7" spans="1:3" x14ac:dyDescent="0.3">
      <c r="A7" t="s">
        <v>19</v>
      </c>
      <c r="B7">
        <v>220000</v>
      </c>
      <c r="C7">
        <v>73333.333333333328</v>
      </c>
    </row>
    <row r="8" spans="1:3" x14ac:dyDescent="0.3">
      <c r="A8" t="s">
        <v>14</v>
      </c>
      <c r="B8">
        <v>163500</v>
      </c>
      <c r="C8">
        <v>54500</v>
      </c>
    </row>
    <row r="9" spans="1:3" x14ac:dyDescent="0.3">
      <c r="A9" t="s">
        <v>23</v>
      </c>
      <c r="B9">
        <v>2000</v>
      </c>
      <c r="C9">
        <v>2000</v>
      </c>
    </row>
    <row r="10" spans="1:3" x14ac:dyDescent="0.3">
      <c r="A10" t="s">
        <v>38</v>
      </c>
      <c r="B10">
        <v>607000</v>
      </c>
      <c r="C10">
        <v>40466.666666666664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12CA1-1A15-4C10-B71E-B0EF762D0466}">
  <dimension ref="A2:B6"/>
  <sheetViews>
    <sheetView zoomScale="55" zoomScaleNormal="55" workbookViewId="0">
      <selection activeCell="I35" sqref="I35"/>
    </sheetView>
  </sheetViews>
  <sheetFormatPr defaultRowHeight="14.4" x14ac:dyDescent="0.3"/>
  <cols>
    <col min="1" max="1" width="18.44140625" bestFit="1" customWidth="1"/>
    <col min="2" max="2" width="22.5546875" bestFit="1" customWidth="1"/>
    <col min="8" max="8" width="18.44140625" bestFit="1" customWidth="1"/>
    <col min="9" max="9" width="22.5546875" bestFit="1" customWidth="1"/>
  </cols>
  <sheetData>
    <row r="2" spans="1:2" x14ac:dyDescent="0.3">
      <c r="A2" s="2" t="s">
        <v>39</v>
      </c>
      <c r="B2" t="s">
        <v>43</v>
      </c>
    </row>
    <row r="3" spans="1:2" x14ac:dyDescent="0.3">
      <c r="A3" s="3" t="s">
        <v>9</v>
      </c>
      <c r="B3">
        <v>2</v>
      </c>
    </row>
    <row r="4" spans="1:2" x14ac:dyDescent="0.3">
      <c r="A4" s="3" t="s">
        <v>19</v>
      </c>
      <c r="B4">
        <v>1</v>
      </c>
    </row>
    <row r="5" spans="1:2" x14ac:dyDescent="0.3">
      <c r="A5" s="3" t="s">
        <v>14</v>
      </c>
      <c r="B5">
        <v>1</v>
      </c>
    </row>
    <row r="6" spans="1:2" x14ac:dyDescent="0.3">
      <c r="A6" s="3" t="s">
        <v>38</v>
      </c>
      <c r="B6">
        <v>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EB1F0-7825-4165-B525-382616E8CB8E}">
  <dimension ref="A1:C3"/>
  <sheetViews>
    <sheetView zoomScale="85" zoomScaleNormal="85" workbookViewId="0">
      <selection activeCell="C27" sqref="C27"/>
    </sheetView>
  </sheetViews>
  <sheetFormatPr defaultRowHeight="14.4" x14ac:dyDescent="0.3"/>
  <cols>
    <col min="1" max="1" width="13.44140625" bestFit="1" customWidth="1"/>
    <col min="2" max="2" width="18" bestFit="1" customWidth="1"/>
    <col min="3" max="3" width="17.6640625" bestFit="1" customWidth="1"/>
    <col min="6" max="6" width="15.77734375" bestFit="1" customWidth="1"/>
  </cols>
  <sheetData>
    <row r="1" spans="1:3" x14ac:dyDescent="0.3">
      <c r="A1" s="2" t="s">
        <v>39</v>
      </c>
      <c r="B1" t="s">
        <v>40</v>
      </c>
      <c r="C1" t="s">
        <v>43</v>
      </c>
    </row>
    <row r="2" spans="1:3" x14ac:dyDescent="0.3">
      <c r="A2" s="3" t="s">
        <v>11</v>
      </c>
      <c r="B2">
        <v>219000</v>
      </c>
      <c r="C2">
        <v>4</v>
      </c>
    </row>
    <row r="3" spans="1:3" x14ac:dyDescent="0.3">
      <c r="A3" s="3" t="s">
        <v>38</v>
      </c>
      <c r="B3">
        <v>219000</v>
      </c>
      <c r="C3">
        <v>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5C29F-1BA1-443A-B487-1BEFEF69E07E}">
  <dimension ref="A1:D6"/>
  <sheetViews>
    <sheetView workbookViewId="0">
      <selection activeCell="C2" sqref="C2"/>
    </sheetView>
  </sheetViews>
  <sheetFormatPr defaultRowHeight="14.4" x14ac:dyDescent="0.3"/>
  <cols>
    <col min="1" max="1" width="16.6640625" bestFit="1" customWidth="1"/>
    <col min="2" max="2" width="15.5546875" bestFit="1" customWidth="1"/>
    <col min="3" max="3" width="10.21875" bestFit="1" customWidth="1"/>
    <col min="4" max="5" width="10.77734375" bestFit="1" customWidth="1"/>
    <col min="6" max="6" width="15.5546875" bestFit="1" customWidth="1"/>
    <col min="7" max="7" width="10.21875" bestFit="1" customWidth="1"/>
    <col min="8" max="8" width="6.21875" bestFit="1" customWidth="1"/>
    <col min="9" max="9" width="10.77734375" bestFit="1" customWidth="1"/>
  </cols>
  <sheetData>
    <row r="1" spans="1:4" x14ac:dyDescent="0.3">
      <c r="A1" s="2" t="s">
        <v>43</v>
      </c>
      <c r="B1" s="2" t="s">
        <v>37</v>
      </c>
    </row>
    <row r="2" spans="1:4" x14ac:dyDescent="0.3">
      <c r="A2" s="2" t="s">
        <v>39</v>
      </c>
      <c r="B2" t="s">
        <v>17</v>
      </c>
      <c r="C2" t="s">
        <v>12</v>
      </c>
      <c r="D2" t="s">
        <v>38</v>
      </c>
    </row>
    <row r="3" spans="1:4" x14ac:dyDescent="0.3">
      <c r="A3" s="3" t="s">
        <v>9</v>
      </c>
      <c r="B3">
        <v>1</v>
      </c>
      <c r="C3">
        <v>1</v>
      </c>
      <c r="D3">
        <v>2</v>
      </c>
    </row>
    <row r="4" spans="1:4" x14ac:dyDescent="0.3">
      <c r="A4" s="3" t="s">
        <v>19</v>
      </c>
      <c r="B4">
        <v>1</v>
      </c>
      <c r="D4">
        <v>1</v>
      </c>
    </row>
    <row r="5" spans="1:4" x14ac:dyDescent="0.3">
      <c r="A5" s="3" t="s">
        <v>14</v>
      </c>
      <c r="B5">
        <v>1</v>
      </c>
      <c r="D5">
        <v>1</v>
      </c>
    </row>
    <row r="6" spans="1:4" x14ac:dyDescent="0.3">
      <c r="A6" s="3" t="s">
        <v>38</v>
      </c>
      <c r="B6">
        <v>3</v>
      </c>
      <c r="C6">
        <v>1</v>
      </c>
      <c r="D6">
        <v>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3E43E-886C-4F47-B95A-26F7877D47CE}">
  <dimension ref="A1:W3"/>
  <sheetViews>
    <sheetView showGridLines="0" tabSelected="1" zoomScale="70" zoomScaleNormal="70" workbookViewId="0">
      <selection sqref="A1:S3"/>
    </sheetView>
  </sheetViews>
  <sheetFormatPr defaultRowHeight="14.4" x14ac:dyDescent="0.3"/>
  <cols>
    <col min="1" max="16384" width="8.88671875" style="4"/>
  </cols>
  <sheetData>
    <row r="1" spans="1:23" s="5" customFormat="1" ht="14.4" customHeight="1" x14ac:dyDescent="0.4">
      <c r="A1" s="12" t="s">
        <v>41</v>
      </c>
      <c r="B1" s="13"/>
      <c r="C1" s="13"/>
      <c r="D1" s="13"/>
      <c r="E1" s="13"/>
      <c r="F1" s="13"/>
      <c r="G1" s="13"/>
      <c r="H1" s="13"/>
      <c r="I1" s="13"/>
      <c r="J1" s="13"/>
      <c r="K1" s="13"/>
      <c r="L1" s="13"/>
      <c r="M1" s="13"/>
      <c r="N1" s="13"/>
      <c r="O1" s="13"/>
      <c r="P1" s="13"/>
      <c r="Q1" s="13"/>
      <c r="R1" s="13"/>
      <c r="S1" s="13"/>
      <c r="T1" s="6"/>
      <c r="U1" s="6"/>
      <c r="V1" s="6"/>
      <c r="W1" s="6"/>
    </row>
    <row r="2" spans="1:23" s="5" customFormat="1" ht="14.4" customHeight="1" x14ac:dyDescent="0.4">
      <c r="A2" s="12"/>
      <c r="B2" s="13"/>
      <c r="C2" s="13"/>
      <c r="D2" s="13"/>
      <c r="E2" s="13"/>
      <c r="F2" s="13"/>
      <c r="G2" s="13"/>
      <c r="H2" s="13"/>
      <c r="I2" s="13"/>
      <c r="J2" s="13"/>
      <c r="K2" s="13"/>
      <c r="L2" s="13"/>
      <c r="M2" s="13"/>
      <c r="N2" s="13"/>
      <c r="O2" s="13"/>
      <c r="P2" s="13"/>
      <c r="Q2" s="13"/>
      <c r="R2" s="13"/>
      <c r="S2" s="13"/>
      <c r="T2" s="6"/>
      <c r="U2" s="6"/>
      <c r="V2" s="6"/>
      <c r="W2" s="6"/>
    </row>
    <row r="3" spans="1:23" s="5" customFormat="1" ht="14.4" customHeight="1" x14ac:dyDescent="0.4">
      <c r="A3" s="12"/>
      <c r="B3" s="13"/>
      <c r="C3" s="13"/>
      <c r="D3" s="13"/>
      <c r="E3" s="13"/>
      <c r="F3" s="13"/>
      <c r="G3" s="13"/>
      <c r="H3" s="13"/>
      <c r="I3" s="13"/>
      <c r="J3" s="13"/>
      <c r="K3" s="13"/>
      <c r="L3" s="13"/>
      <c r="M3" s="13"/>
      <c r="N3" s="13"/>
      <c r="O3" s="13"/>
      <c r="P3" s="13"/>
      <c r="Q3" s="13"/>
      <c r="R3" s="13"/>
      <c r="S3" s="13"/>
      <c r="T3" s="6"/>
      <c r="U3" s="6"/>
      <c r="V3" s="6"/>
      <c r="W3" s="6"/>
    </row>
  </sheetData>
  <mergeCells count="1">
    <mergeCell ref="A1:S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HOSPITAL DATA</vt:lpstr>
      <vt:lpstr>Revenue_View</vt:lpstr>
      <vt:lpstr>Patient Load &amp; Capacity</vt:lpstr>
      <vt:lpstr>Insurance_View</vt:lpstr>
      <vt:lpstr>Discharge Efficiency</vt:lpstr>
      <vt:lpstr>dashboards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Arya Vast</dc:creator>
  <cp:lastModifiedBy>Arya Vast</cp:lastModifiedBy>
  <dcterms:created xsi:type="dcterms:W3CDTF">2026-01-06T07:49:54Z</dcterms:created>
  <dcterms:modified xsi:type="dcterms:W3CDTF">2026-02-24T12:07:51Z</dcterms:modified>
</cp:coreProperties>
</file>