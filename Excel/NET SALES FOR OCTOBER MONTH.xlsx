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ya Vast\Desktop\PGD BIO AND COMPUTER SKILLS\EXCEL\"/>
    </mc:Choice>
  </mc:AlternateContent>
  <xr:revisionPtr revIDLastSave="0" documentId="13_ncr:1_{6966A7CC-11B8-4C24-9898-1A16217E76A2}" xr6:coauthVersionLast="47" xr6:coauthVersionMax="47" xr10:uidLastSave="{00000000-0000-0000-0000-000000000000}"/>
  <bookViews>
    <workbookView xWindow="1848" yWindow="780" windowWidth="11868" windowHeight="12156" activeTab="5" xr2:uid="{00000000-000D-0000-FFFF-FFFF00000000}"/>
  </bookViews>
  <sheets>
    <sheet name="make a table to export sheets " sheetId="1" r:id="rId1"/>
    <sheet name="Sheet6" sheetId="8" r:id="rId2"/>
    <sheet name="Sheet5" sheetId="7" r:id="rId3"/>
    <sheet name="Sheet1" sheetId="2" r:id="rId4"/>
    <sheet name="Sheet4" sheetId="6" r:id="rId5"/>
    <sheet name="DASHBOARD" sheetId="5" r:id="rId6"/>
  </sheets>
  <definedNames>
    <definedName name="NativeTimeline_Order_Date">#N/A</definedName>
    <definedName name="Slicer_Salesperson_ID">#N/A</definedName>
    <definedName name="Slicer_State">#N/A</definedName>
  </definedNames>
  <calcPr calcId="0"/>
  <pivotCaches>
    <pivotCache cacheId="39" r:id="rId7"/>
    <pivotCache cacheId="4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sharedStrings.xml><?xml version="1.0" encoding="utf-8"?>
<sst xmlns="http://schemas.openxmlformats.org/spreadsheetml/2006/main" count="146" uniqueCount="110">
  <si>
    <t>Order ID</t>
  </si>
  <si>
    <t>Order Date</t>
  </si>
  <si>
    <t>Customer Name</t>
  </si>
  <si>
    <t>Customer Email</t>
  </si>
  <si>
    <t>Product ID</t>
  </si>
  <si>
    <t>Product Name</t>
  </si>
  <si>
    <t>Category</t>
  </si>
  <si>
    <t>Quantity</t>
  </si>
  <si>
    <t>Unit Price (₹)</t>
  </si>
  <si>
    <t>Gross Sale (₹)</t>
  </si>
  <si>
    <t>Discount (%)</t>
  </si>
  <si>
    <t>Net Sale (₹)</t>
  </si>
  <si>
    <t>Payment Method</t>
  </si>
  <si>
    <t>City</t>
  </si>
  <si>
    <t>State</t>
  </si>
  <si>
    <t>Salesperson ID</t>
  </si>
  <si>
    <t>ORD-24001</t>
  </si>
  <si>
    <t>Priya Sharma</t>
  </si>
  <si>
    <t>priya.s@example.com</t>
  </si>
  <si>
    <t>P-EL-0012</t>
  </si>
  <si>
    <t>Samsung 55" QLED TV</t>
  </si>
  <si>
    <t>Electronics</t>
  </si>
  <si>
    <t>UPI</t>
  </si>
  <si>
    <t>Mumbai</t>
  </si>
  <si>
    <t>Maharashtra</t>
  </si>
  <si>
    <t>S-101</t>
  </si>
  <si>
    <t>ORD-24002</t>
  </si>
  <si>
    <t>Arjun Reddy</t>
  </si>
  <si>
    <t>areddy@example.com</t>
  </si>
  <si>
    <t>P-FS-0034</t>
  </si>
  <si>
    <t>Nike Air Max Shoes</t>
  </si>
  <si>
    <t>Fashion</t>
  </si>
  <si>
    <t>Credit Card</t>
  </si>
  <si>
    <t>Hyderabad</t>
  </si>
  <si>
    <t>Telangana</t>
  </si>
  <si>
    <t>S-105</t>
  </si>
  <si>
    <t>ORD-24003</t>
  </si>
  <si>
    <t>Ananya Gupta</t>
  </si>
  <si>
    <t>ananya.g@example.com</t>
  </si>
  <si>
    <t>P-BK-0101</t>
  </si>
  <si>
    <t>"The Psychology of Money"</t>
  </si>
  <si>
    <t>Books</t>
  </si>
  <si>
    <t>Debit Card</t>
  </si>
  <si>
    <t>Delhi</t>
  </si>
  <si>
    <t>S-102</t>
  </si>
  <si>
    <t>ORD-24004</t>
  </si>
  <si>
    <t>Rohan Patel</t>
  </si>
  <si>
    <t>r.patel@example.com</t>
  </si>
  <si>
    <t>P-HG-0078</t>
  </si>
  <si>
    <t>Philips Air Fryer</t>
  </si>
  <si>
    <t>Home &amp; Kitchen</t>
  </si>
  <si>
    <t>Net Banking</t>
  </si>
  <si>
    <t>Ahmedabad</t>
  </si>
  <si>
    <t>Gujarat</t>
  </si>
  <si>
    <t>ORD-24005</t>
  </si>
  <si>
    <t>Meera Krishnan</t>
  </si>
  <si>
    <t>meera.k@example.com</t>
  </si>
  <si>
    <t>P-GR-0210</t>
  </si>
  <si>
    <t>5kg Aashirvaad Atta</t>
  </si>
  <si>
    <t>Groceries</t>
  </si>
  <si>
    <t>Cash on Delivery</t>
  </si>
  <si>
    <t>Chennai</t>
  </si>
  <si>
    <t>Tamil Nadu</t>
  </si>
  <si>
    <t>S-108</t>
  </si>
  <si>
    <t>ORD-24006</t>
  </si>
  <si>
    <t>Vikram Singh</t>
  </si>
  <si>
    <t>vsingh@example.com</t>
  </si>
  <si>
    <t>P-EL-0025</t>
  </si>
  <si>
    <t>Apple AirPods Pro</t>
  </si>
  <si>
    <t>Bangalore</t>
  </si>
  <si>
    <t>Karnataka</t>
  </si>
  <si>
    <t>S-103</t>
  </si>
  <si>
    <t>ORD-24007</t>
  </si>
  <si>
    <t>Sneha Desai</t>
  </si>
  <si>
    <t>snehadesai@example.com</t>
  </si>
  <si>
    <t>P-FS-0056</t>
  </si>
  <si>
    <t>Fabindia Silk Kurta</t>
  </si>
  <si>
    <t>Pune</t>
  </si>
  <si>
    <t>ORD-24008</t>
  </si>
  <si>
    <t>Aditya Bose</t>
  </si>
  <si>
    <t>adityab@example.com</t>
  </si>
  <si>
    <t>P-HG-0091</t>
  </si>
  <si>
    <t>Prestige Induction Cooktop</t>
  </si>
  <si>
    <t>Kolkata</t>
  </si>
  <si>
    <t>West Bengal</t>
  </si>
  <si>
    <t>S-106</t>
  </si>
  <si>
    <t>ORD-24009</t>
  </si>
  <si>
    <t>Fatima Sheikh</t>
  </si>
  <si>
    <t>fatima.s@example.com</t>
  </si>
  <si>
    <t>P-GR-0305</t>
  </si>
  <si>
    <t>1L Amul Gold Milk</t>
  </si>
  <si>
    <t>Lucknow</t>
  </si>
  <si>
    <t>Uttar Pradesh</t>
  </si>
  <si>
    <t>ORD-24010</t>
  </si>
  <si>
    <t>Rajesh Kumar</t>
  </si>
  <si>
    <t>rajesh.k@example.com</t>
  </si>
  <si>
    <t>P-EL-0045</t>
  </si>
  <si>
    <t>Boat Airdopes 131</t>
  </si>
  <si>
    <t>Jaipur</t>
  </si>
  <si>
    <t>Rajasthan</t>
  </si>
  <si>
    <t>Row Labels</t>
  </si>
  <si>
    <t>Grand Total</t>
  </si>
  <si>
    <t>Sum of Net Sale (₹)</t>
  </si>
  <si>
    <t>OCTOBER MONTH: SALES DATA</t>
  </si>
  <si>
    <t>NET SALE</t>
  </si>
  <si>
    <t>4660-5659</t>
  </si>
  <si>
    <t>8660-9659</t>
  </si>
  <si>
    <t>73660-74659</t>
  </si>
  <si>
    <t>Count of Net Sale (₹)</t>
  </si>
  <si>
    <t xml:space="preserve">NET SALES FOR OCTOBER 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</si>
</sst>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Tw Cen MT"/>
      <scheme val="minor"/>
    </font>
    <font>
      <sz val="10"/>
      <color theme="1"/>
      <name val="Tw Cen MT"/>
      <family val="2"/>
      <scheme val="minor"/>
    </font>
    <font>
      <b/>
      <sz val="10"/>
      <color rgb="FFFF0000"/>
      <name val="Tw Cen MT"/>
      <family val="2"/>
      <scheme val="minor"/>
    </font>
    <font>
      <b/>
      <sz val="26"/>
      <color theme="9" tint="-0.499984740745262"/>
      <name val="Tw Cen MT"/>
      <family val="2"/>
      <scheme val="minor"/>
    </font>
  </fonts>
  <fills count="6">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2" tint="-4.9989318521683403E-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64" fontId="1" fillId="0" borderId="0" xfId="0" applyNumberFormat="1" applyFont="1"/>
    <xf numFmtId="3" fontId="1" fillId="0" borderId="0" xfId="0" applyNumberFormat="1" applyFont="1"/>
    <xf numFmtId="9" fontId="1" fillId="0" borderId="0" xfId="0" applyNumberFormat="1" applyFon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5" borderId="0" xfId="0" applyFill="1"/>
    <xf numFmtId="0" fontId="2" fillId="2" borderId="0" xfId="0" applyFont="1" applyFill="1" applyAlignment="1">
      <alignment horizontal="center"/>
    </xf>
    <xf numFmtId="0" fontId="3" fillId="4" borderId="0" xfId="0" applyFont="1" applyFill="1" applyAlignment="1">
      <alignment horizontal="center" vertical="center"/>
    </xf>
    <xf numFmtId="0" fontId="0" fillId="0" borderId="0" xfId="0" applyNumberFormat="1"/>
  </cellXfs>
  <cellStyles count="1">
    <cellStyle name="Normal" xfId="0" builtinId="0"/>
  </cellStyles>
  <dxfs count="18">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numFmt numFmtId="3" formatCode="#,##0"/>
    </dxf>
    <dxf>
      <font>
        <b val="0"/>
        <i val="0"/>
        <strike val="0"/>
        <condense val="0"/>
        <extend val="0"/>
        <outline val="0"/>
        <shadow val="0"/>
        <u val="none"/>
        <vertAlign val="baseline"/>
        <sz val="10"/>
        <color theme="1"/>
        <name val="Tw Cen MT"/>
        <scheme val="minor"/>
      </font>
      <numFmt numFmtId="13" formatCode="0%"/>
    </dxf>
    <dxf>
      <font>
        <b val="0"/>
        <i val="0"/>
        <strike val="0"/>
        <condense val="0"/>
        <extend val="0"/>
        <outline val="0"/>
        <shadow val="0"/>
        <u val="none"/>
        <vertAlign val="baseline"/>
        <sz val="10"/>
        <color theme="1"/>
        <name val="Tw Cen MT"/>
        <scheme val="minor"/>
      </font>
      <numFmt numFmtId="3" formatCode="#,##0"/>
    </dxf>
    <dxf>
      <font>
        <b val="0"/>
        <i val="0"/>
        <strike val="0"/>
        <condense val="0"/>
        <extend val="0"/>
        <outline val="0"/>
        <shadow val="0"/>
        <u val="none"/>
        <vertAlign val="baseline"/>
        <sz val="10"/>
        <color theme="1"/>
        <name val="Tw Cen MT"/>
        <scheme val="minor"/>
      </font>
      <numFmt numFmtId="3" formatCode="#,##0"/>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numFmt numFmtId="164" formatCode="yyyy\-mm\-dd"/>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[dashboard.xlsx]Sheet6!PivotTable4</c:name>
    <c:fmtId val="0"/>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baseline="0"/>
              <a:t>Top 5 products net sale</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Sheet6!$B$1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61E6-49BF-B211-6B7C9125667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61E6-49BF-B211-6B7C91256677}"/>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61E6-49BF-B211-6B7C91256677}"/>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61E6-49BF-B211-6B7C91256677}"/>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61E6-49BF-B211-6B7C91256677}"/>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61E6-49BF-B211-6B7C91256677}"/>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61E6-49BF-B211-6B7C91256677}"/>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61E6-49BF-B211-6B7C91256677}"/>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61E6-49BF-B211-6B7C91256677}"/>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61E6-49BF-B211-6B7C91256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Sheet6!$A$2:$A$5</c:f>
              <c:strCache>
                <c:ptCount val="3"/>
                <c:pt idx="0">
                  <c:v>Fabindia Silk Kurta</c:v>
                </c:pt>
                <c:pt idx="1">
                  <c:v>Philips Air Fryer</c:v>
                </c:pt>
                <c:pt idx="2">
                  <c:v>Samsung 55" QLED TV</c:v>
                </c:pt>
              </c:strCache>
            </c:strRef>
          </c:cat>
          <c:val>
            <c:numRef>
              <c:f>Sheet6!$B$2:$B$5</c:f>
              <c:numCache>
                <c:formatCode>General</c:formatCode>
                <c:ptCount val="3"/>
                <c:pt idx="0">
                  <c:v>4760</c:v>
                </c:pt>
                <c:pt idx="1">
                  <c:v>9200</c:v>
                </c:pt>
                <c:pt idx="2">
                  <c:v>74100</c:v>
                </c:pt>
              </c:numCache>
            </c:numRef>
          </c:val>
          <c:extLst>
            <c:ext xmlns:c16="http://schemas.microsoft.com/office/drawing/2014/chart" uri="{C3380CC4-5D6E-409C-BE32-E72D297353CC}">
              <c16:uniqueId val="{00000000-DBAE-4EEC-9DC7-053CE50F12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28575" cap="rnd">
              <a:solidFill>
                <a:schemeClr val="accent2"/>
              </a:solidFill>
              <a:round/>
            </a:ln>
            <a:effectLst/>
          </c:spPr>
          <c:marker>
            <c:symbol val="none"/>
          </c:marker>
          <c:cat>
            <c:strRef>
              <c:f>Sheet5!$A$2:$A$11</c:f>
              <c:strCache>
                <c:ptCount val="9"/>
                <c:pt idx="0">
                  <c:v>Maharashtra</c:v>
                </c:pt>
                <c:pt idx="1">
                  <c:v>Karnataka</c:v>
                </c:pt>
                <c:pt idx="2">
                  <c:v>Telangana</c:v>
                </c:pt>
                <c:pt idx="3">
                  <c:v>Gujarat</c:v>
                </c:pt>
                <c:pt idx="4">
                  <c:v>West Bengal</c:v>
                </c:pt>
                <c:pt idx="5">
                  <c:v>Rajasthan</c:v>
                </c:pt>
                <c:pt idx="6">
                  <c:v>Tamil Nadu</c:v>
                </c:pt>
                <c:pt idx="7">
                  <c:v>Delhi</c:v>
                </c:pt>
                <c:pt idx="8">
                  <c:v>Uttar Pradesh</c:v>
                </c:pt>
              </c:strCache>
            </c:strRef>
          </c:cat>
          <c:val>
            <c:numRef>
              <c:f>Sheet5!$B$2:$B$11</c:f>
              <c:numCache>
                <c:formatCode>General</c:formatCode>
                <c:ptCount val="9"/>
                <c:pt idx="0">
                  <c:v>78860</c:v>
                </c:pt>
                <c:pt idx="1">
                  <c:v>22000</c:v>
                </c:pt>
                <c:pt idx="2">
                  <c:v>15300</c:v>
                </c:pt>
                <c:pt idx="3">
                  <c:v>9200</c:v>
                </c:pt>
                <c:pt idx="4">
                  <c:v>2945</c:v>
                </c:pt>
                <c:pt idx="5">
                  <c:v>1299</c:v>
                </c:pt>
                <c:pt idx="6">
                  <c:v>1250</c:v>
                </c:pt>
                <c:pt idx="7">
                  <c:v>1050</c:v>
                </c:pt>
                <c:pt idx="8">
                  <c:v>660</c:v>
                </c:pt>
              </c:numCache>
            </c:numRef>
          </c:val>
          <c:smooth val="0"/>
          <c:extLst>
            <c:ext xmlns:c16="http://schemas.microsoft.com/office/drawing/2014/chart" uri="{C3380CC4-5D6E-409C-BE32-E72D297353CC}">
              <c16:uniqueId val="{00000000-6EC2-41EE-BB86-7B3F4AC2137D}"/>
            </c:ext>
          </c:extLst>
        </c:ser>
        <c:dLbls>
          <c:showLegendKey val="0"/>
          <c:showVal val="0"/>
          <c:showCatName val="0"/>
          <c:showSerName val="0"/>
          <c:showPercent val="0"/>
          <c:showBubbleSize val="0"/>
        </c:dLbls>
        <c:smooth val="0"/>
        <c:axId val="559430223"/>
        <c:axId val="559394703"/>
      </c:lineChart>
      <c:catAx>
        <c:axId val="55943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94703"/>
        <c:crosses val="autoZero"/>
        <c:auto val="1"/>
        <c:lblAlgn val="ctr"/>
        <c:lblOffset val="100"/>
        <c:noMultiLvlLbl val="0"/>
      </c:catAx>
      <c:valAx>
        <c:axId val="5593947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5943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Sheet1!$A$5:$A$8</c:f>
              <c:strCache>
                <c:ptCount val="3"/>
                <c:pt idx="0">
                  <c:v>4660-5659</c:v>
                </c:pt>
                <c:pt idx="1">
                  <c:v>8660-9659</c:v>
                </c:pt>
                <c:pt idx="2">
                  <c:v>73660-74659</c:v>
                </c:pt>
              </c:strCache>
            </c:strRef>
          </c:cat>
          <c:val>
            <c:numRef>
              <c:f>Sheet1!$B$5:$B$8</c:f>
              <c:numCache>
                <c:formatCode>General</c:formatCode>
                <c:ptCount val="3"/>
                <c:pt idx="0">
                  <c:v>1</c:v>
                </c:pt>
                <c:pt idx="1">
                  <c:v>1</c:v>
                </c:pt>
                <c:pt idx="2">
                  <c:v>1</c:v>
                </c:pt>
              </c:numCache>
            </c:numRef>
          </c:val>
          <c:extLst>
            <c:ext xmlns:c16="http://schemas.microsoft.com/office/drawing/2014/chart" uri="{C3380CC4-5D6E-409C-BE32-E72D297353CC}">
              <c16:uniqueId val="{00000003-F389-4909-B26B-4DC874A602C4}"/>
            </c:ext>
          </c:extLst>
        </c:ser>
        <c:dLbls>
          <c:dLblPos val="outEnd"/>
          <c:showLegendKey val="0"/>
          <c:showVal val="1"/>
          <c:showCatName val="0"/>
          <c:showSerName val="0"/>
          <c:showPercent val="0"/>
          <c:showBubbleSize val="0"/>
        </c:dLbls>
        <c:gapWidth val="182"/>
        <c:axId val="798804991"/>
        <c:axId val="798797791"/>
      </c:barChart>
      <c:catAx>
        <c:axId val="79880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97791"/>
        <c:crosses val="autoZero"/>
        <c:auto val="1"/>
        <c:lblAlgn val="ctr"/>
        <c:lblOffset val="100"/>
        <c:noMultiLvlLbl val="0"/>
      </c:catAx>
      <c:valAx>
        <c:axId val="7987977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880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salesperson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c:f>
              <c:strCache>
                <c:ptCount val="1"/>
                <c:pt idx="0">
                  <c:v>Total</c:v>
                </c:pt>
              </c:strCache>
            </c:strRef>
          </c:tx>
          <c:spPr>
            <a:solidFill>
              <a:schemeClr val="accent4"/>
            </a:solidFill>
            <a:ln>
              <a:noFill/>
            </a:ln>
            <a:effectLst/>
          </c:spPr>
          <c:invertIfNegative val="0"/>
          <c:cat>
            <c:strRef>
              <c:f>Sheet4!$A$2:$A$3</c:f>
              <c:strCache>
                <c:ptCount val="1"/>
                <c:pt idx="0">
                  <c:v>S-101</c:v>
                </c:pt>
              </c:strCache>
            </c:strRef>
          </c:cat>
          <c:val>
            <c:numRef>
              <c:f>Sheet4!$B$2:$B$3</c:f>
              <c:numCache>
                <c:formatCode>General</c:formatCode>
                <c:ptCount val="1"/>
                <c:pt idx="0">
                  <c:v>3</c:v>
                </c:pt>
              </c:numCache>
            </c:numRef>
          </c:val>
          <c:extLst>
            <c:ext xmlns:c16="http://schemas.microsoft.com/office/drawing/2014/chart" uri="{C3380CC4-5D6E-409C-BE32-E72D297353CC}">
              <c16:uniqueId val="{00000000-B82A-47E8-8111-81F40293DF1C}"/>
            </c:ext>
          </c:extLst>
        </c:ser>
        <c:dLbls>
          <c:showLegendKey val="0"/>
          <c:showVal val="0"/>
          <c:showCatName val="0"/>
          <c:showSerName val="0"/>
          <c:showPercent val="0"/>
          <c:showBubbleSize val="0"/>
        </c:dLbls>
        <c:gapWidth val="219"/>
        <c:axId val="559420143"/>
        <c:axId val="559417743"/>
      </c:barChart>
      <c:catAx>
        <c:axId val="55942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417743"/>
        <c:crosses val="autoZero"/>
        <c:auto val="1"/>
        <c:lblAlgn val="ctr"/>
        <c:lblOffset val="100"/>
        <c:noMultiLvlLbl val="0"/>
      </c:catAx>
      <c:valAx>
        <c:axId val="559417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42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a:t>
            </a:r>
            <a:r>
              <a:rPr lang="en-US"/>
              <a:t>Sales</a:t>
            </a:r>
            <a:r>
              <a:rPr lang="en-US" baseline="0"/>
              <a:t> Trends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Sheet1!$A$5:$A$8</c:f>
              <c:strCache>
                <c:ptCount val="3"/>
                <c:pt idx="0">
                  <c:v>4660-5659</c:v>
                </c:pt>
                <c:pt idx="1">
                  <c:v>8660-9659</c:v>
                </c:pt>
                <c:pt idx="2">
                  <c:v>73660-74659</c:v>
                </c:pt>
              </c:strCache>
            </c:strRef>
          </c:cat>
          <c:val>
            <c:numRef>
              <c:f>Sheet1!$B$5:$B$8</c:f>
              <c:numCache>
                <c:formatCode>General</c:formatCode>
                <c:ptCount val="3"/>
                <c:pt idx="0">
                  <c:v>1</c:v>
                </c:pt>
                <c:pt idx="1">
                  <c:v>1</c:v>
                </c:pt>
                <c:pt idx="2">
                  <c:v>1</c:v>
                </c:pt>
              </c:numCache>
            </c:numRef>
          </c:val>
          <c:extLst>
            <c:ext xmlns:c16="http://schemas.microsoft.com/office/drawing/2014/chart" uri="{C3380CC4-5D6E-409C-BE32-E72D297353CC}">
              <c16:uniqueId val="{00000000-065B-41A1-90BA-4DAD07E0D342}"/>
            </c:ext>
          </c:extLst>
        </c:ser>
        <c:dLbls>
          <c:dLblPos val="outEnd"/>
          <c:showLegendKey val="0"/>
          <c:showVal val="1"/>
          <c:showCatName val="0"/>
          <c:showSerName val="0"/>
          <c:showPercent val="0"/>
          <c:showBubbleSize val="0"/>
        </c:dLbls>
        <c:gapWidth val="182"/>
        <c:axId val="798804991"/>
        <c:axId val="798797791"/>
      </c:barChart>
      <c:catAx>
        <c:axId val="79880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30" b="0" i="0" u="none" strike="noStrike" kern="1200" baseline="0">
                <a:solidFill>
                  <a:schemeClr val="tx1">
                    <a:lumMod val="65000"/>
                    <a:lumOff val="35000"/>
                  </a:schemeClr>
                </a:solidFill>
                <a:latin typeface="+mn-lt"/>
                <a:ea typeface="+mn-ea"/>
                <a:cs typeface="+mn-cs"/>
              </a:defRPr>
            </a:pPr>
            <a:endParaRPr lang="en-US"/>
          </a:p>
        </c:txPr>
        <c:crossAx val="798797791"/>
        <c:crosses val="autoZero"/>
        <c:auto val="1"/>
        <c:lblAlgn val="ctr"/>
        <c:lblOffset val="100"/>
        <c:noMultiLvlLbl val="0"/>
      </c:catAx>
      <c:valAx>
        <c:axId val="7987977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880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[dashboard.xlsx]Sheet4!PivotTable2</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Net</a:t>
            </a:r>
            <a:r>
              <a:rPr lang="en-US" baseline="0"/>
              <a:t> </a:t>
            </a:r>
            <a:r>
              <a:rPr lang="en-US"/>
              <a:t>Sales</a:t>
            </a:r>
            <a:r>
              <a:rPr lang="en-US" baseline="0"/>
              <a:t> by salesperson </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c:f>
              <c:strCache>
                <c:ptCount val="1"/>
                <c:pt idx="0">
                  <c:v>Total</c:v>
                </c:pt>
              </c:strCache>
            </c:strRef>
          </c:tx>
          <c:spPr>
            <a:solidFill>
              <a:schemeClr val="accent4"/>
            </a:solidFill>
            <a:ln>
              <a:noFill/>
            </a:ln>
            <a:effectLst/>
          </c:spPr>
          <c:invertIfNegative val="0"/>
          <c:cat>
            <c:strRef>
              <c:f>Sheet4!$A$2:$A$3</c:f>
              <c:strCache>
                <c:ptCount val="1"/>
                <c:pt idx="0">
                  <c:v>S-101</c:v>
                </c:pt>
              </c:strCache>
            </c:strRef>
          </c:cat>
          <c:val>
            <c:numRef>
              <c:f>Sheet4!$B$2:$B$3</c:f>
              <c:numCache>
                <c:formatCode>General</c:formatCode>
                <c:ptCount val="1"/>
                <c:pt idx="0">
                  <c:v>3</c:v>
                </c:pt>
              </c:numCache>
            </c:numRef>
          </c:val>
          <c:extLst>
            <c:ext xmlns:c16="http://schemas.microsoft.com/office/drawing/2014/chart" uri="{C3380CC4-5D6E-409C-BE32-E72D297353CC}">
              <c16:uniqueId val="{00000000-09E3-4230-BDA8-41D3F93E17E4}"/>
            </c:ext>
          </c:extLst>
        </c:ser>
        <c:dLbls>
          <c:showLegendKey val="0"/>
          <c:showVal val="0"/>
          <c:showCatName val="0"/>
          <c:showSerName val="0"/>
          <c:showPercent val="0"/>
          <c:showBubbleSize val="0"/>
        </c:dLbls>
        <c:gapWidth val="219"/>
        <c:axId val="559420143"/>
        <c:axId val="559417743"/>
      </c:barChart>
      <c:catAx>
        <c:axId val="55942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417743"/>
        <c:crosses val="autoZero"/>
        <c:auto val="1"/>
        <c:lblAlgn val="ctr"/>
        <c:lblOffset val="100"/>
        <c:noMultiLvlLbl val="0"/>
      </c:catAx>
      <c:valAx>
        <c:axId val="559417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42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[dashboard.xlsx]Sheet5!PivotTable3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Net sales by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28575" cap="rnd">
              <a:solidFill>
                <a:schemeClr val="accent2"/>
              </a:solidFill>
              <a:round/>
            </a:ln>
            <a:effectLst/>
          </c:spPr>
          <c:marker>
            <c:symbol val="none"/>
          </c:marker>
          <c:cat>
            <c:strRef>
              <c:f>Sheet5!$A$2:$A$11</c:f>
              <c:strCache>
                <c:ptCount val="9"/>
                <c:pt idx="0">
                  <c:v>Maharashtra</c:v>
                </c:pt>
                <c:pt idx="1">
                  <c:v>Karnataka</c:v>
                </c:pt>
                <c:pt idx="2">
                  <c:v>Telangana</c:v>
                </c:pt>
                <c:pt idx="3">
                  <c:v>Gujarat</c:v>
                </c:pt>
                <c:pt idx="4">
                  <c:v>West Bengal</c:v>
                </c:pt>
                <c:pt idx="5">
                  <c:v>Rajasthan</c:v>
                </c:pt>
                <c:pt idx="6">
                  <c:v>Tamil Nadu</c:v>
                </c:pt>
                <c:pt idx="7">
                  <c:v>Delhi</c:v>
                </c:pt>
                <c:pt idx="8">
                  <c:v>Uttar Pradesh</c:v>
                </c:pt>
              </c:strCache>
            </c:strRef>
          </c:cat>
          <c:val>
            <c:numRef>
              <c:f>Sheet5!$B$2:$B$11</c:f>
              <c:numCache>
                <c:formatCode>General</c:formatCode>
                <c:ptCount val="9"/>
                <c:pt idx="0">
                  <c:v>78860</c:v>
                </c:pt>
                <c:pt idx="1">
                  <c:v>22000</c:v>
                </c:pt>
                <c:pt idx="2">
                  <c:v>15300</c:v>
                </c:pt>
                <c:pt idx="3">
                  <c:v>9200</c:v>
                </c:pt>
                <c:pt idx="4">
                  <c:v>2945</c:v>
                </c:pt>
                <c:pt idx="5">
                  <c:v>1299</c:v>
                </c:pt>
                <c:pt idx="6">
                  <c:v>1250</c:v>
                </c:pt>
                <c:pt idx="7">
                  <c:v>1050</c:v>
                </c:pt>
                <c:pt idx="8">
                  <c:v>660</c:v>
                </c:pt>
              </c:numCache>
            </c:numRef>
          </c:val>
          <c:smooth val="0"/>
          <c:extLst>
            <c:ext xmlns:c16="http://schemas.microsoft.com/office/drawing/2014/chart" uri="{C3380CC4-5D6E-409C-BE32-E72D297353CC}">
              <c16:uniqueId val="{00000000-3B39-439C-B68C-0835288DAAAA}"/>
            </c:ext>
          </c:extLst>
        </c:ser>
        <c:dLbls>
          <c:showLegendKey val="0"/>
          <c:showVal val="0"/>
          <c:showCatName val="0"/>
          <c:showSerName val="0"/>
          <c:showPercent val="0"/>
          <c:showBubbleSize val="0"/>
        </c:dLbls>
        <c:smooth val="0"/>
        <c:axId val="559430223"/>
        <c:axId val="559394703"/>
      </c:lineChart>
      <c:catAx>
        <c:axId val="55943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94703"/>
        <c:crosses val="autoZero"/>
        <c:auto val="1"/>
        <c:lblAlgn val="ctr"/>
        <c:lblOffset val="100"/>
        <c:noMultiLvlLbl val="0"/>
      </c:catAx>
      <c:valAx>
        <c:axId val="5593947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5943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50" baseline="0">
                <a:solidFill>
                  <a:srgbClr val="000000">
                    <a:lumMod val="50000"/>
                    <a:lumOff val="50000"/>
                  </a:srgbClr>
                </a:solidFill>
                <a:latin typeface="+mn-lt"/>
                <a:ea typeface="+mn-ea"/>
                <a:cs typeface="+mn-cs"/>
              </a:defRPr>
            </a:pPr>
            <a:r>
              <a:rPr lang="en-US" sz="1200" b="1" i="0" u="none" strike="noStrike" kern="1200" cap="all" spc="150" baseline="0">
                <a:solidFill>
                  <a:srgbClr val="000000">
                    <a:lumMod val="50000"/>
                    <a:lumOff val="50000"/>
                  </a:srgbClr>
                </a:solidFill>
              </a:rPr>
              <a:t>Top 5 products net sale</a:t>
            </a:r>
          </a:p>
          <a:p>
            <a:pPr marL="0" marR="0" lvl="0" indent="0" algn="ctr" defTabSz="914400" rtl="0" eaLnBrk="1" fontAlgn="auto" latinLnBrk="0" hangingPunct="1">
              <a:lnSpc>
                <a:spcPct val="100000"/>
              </a:lnSpc>
              <a:spcBef>
                <a:spcPts val="0"/>
              </a:spcBef>
              <a:spcAft>
                <a:spcPts val="0"/>
              </a:spcAft>
              <a:buClrTx/>
              <a:buSzTx/>
              <a:buFontTx/>
              <a:buNone/>
              <a:tabLst/>
              <a:defRPr sz="1200">
                <a:solidFill>
                  <a:srgbClr val="000000">
                    <a:lumMod val="50000"/>
                    <a:lumOff val="50000"/>
                  </a:srgbClr>
                </a:solidFill>
              </a:defRPr>
            </a:pPr>
            <a:endParaRPr lang="en-IN" sz="1200" baseline="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50" baseline="0">
              <a:solidFill>
                <a:srgbClr val="000000">
                  <a:lumMod val="50000"/>
                  <a:lumOff val="50000"/>
                </a:srgb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Sheet6!$B$1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CDB-48ED-A7BD-01F05EAB5531}"/>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CDB-48ED-A7BD-01F05EAB5531}"/>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1CDB-48ED-A7BD-01F05EAB5531}"/>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1CDB-48ED-A7BD-01F05EAB5531}"/>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1CDB-48ED-A7BD-01F05EAB5531}"/>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1CDB-48ED-A7BD-01F05EAB5531}"/>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1CDB-48ED-A7BD-01F05EAB5531}"/>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1CDB-48ED-A7BD-01F05EAB5531}"/>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1CDB-48ED-A7BD-01F05EAB5531}"/>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1CDB-48ED-A7BD-01F05EAB5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Sheet6!$A$2:$A$5</c:f>
              <c:strCache>
                <c:ptCount val="3"/>
                <c:pt idx="0">
                  <c:v>Fabindia Silk Kurta</c:v>
                </c:pt>
                <c:pt idx="1">
                  <c:v>Philips Air Fryer</c:v>
                </c:pt>
                <c:pt idx="2">
                  <c:v>Samsung 55" QLED TV</c:v>
                </c:pt>
              </c:strCache>
            </c:strRef>
          </c:cat>
          <c:val>
            <c:numRef>
              <c:f>Sheet6!$B$2:$B$5</c:f>
              <c:numCache>
                <c:formatCode>General</c:formatCode>
                <c:ptCount val="3"/>
                <c:pt idx="0">
                  <c:v>4760</c:v>
                </c:pt>
                <c:pt idx="1">
                  <c:v>9200</c:v>
                </c:pt>
                <c:pt idx="2">
                  <c:v>74100</c:v>
                </c:pt>
              </c:numCache>
            </c:numRef>
          </c:val>
          <c:extLst>
            <c:ext xmlns:c16="http://schemas.microsoft.com/office/drawing/2014/chart" uri="{C3380CC4-5D6E-409C-BE32-E72D297353CC}">
              <c16:uniqueId val="{00000014-1CDB-48ED-A7BD-01F05EAB55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17</xdr:row>
      <xdr:rowOff>60960</xdr:rowOff>
    </xdr:to>
    <xdr:graphicFrame macro="">
      <xdr:nvGraphicFramePr>
        <xdr:cNvPr id="2" name="Chart 1">
          <a:extLst>
            <a:ext uri="{FF2B5EF4-FFF2-40B4-BE49-F238E27FC236}">
              <a16:creationId xmlns:a16="http://schemas.microsoft.com/office/drawing/2014/main" id="{21A65DBC-3CC0-91BA-6695-179C6C367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17</xdr:row>
      <xdr:rowOff>60960</xdr:rowOff>
    </xdr:to>
    <xdr:graphicFrame macro="">
      <xdr:nvGraphicFramePr>
        <xdr:cNvPr id="2" name="Chart 1">
          <a:extLst>
            <a:ext uri="{FF2B5EF4-FFF2-40B4-BE49-F238E27FC236}">
              <a16:creationId xmlns:a16="http://schemas.microsoft.com/office/drawing/2014/main" id="{94AA7CF8-FD41-17B0-E78A-F2622BBFF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152400</xdr:colOff>
      <xdr:row>1</xdr:row>
      <xdr:rowOff>72390</xdr:rowOff>
    </xdr:from>
    <xdr:to>
      <xdr:col>12</xdr:col>
      <xdr:colOff>160020</xdr:colOff>
      <xdr:row>17</xdr:row>
      <xdr:rowOff>133350</xdr:rowOff>
    </xdr:to>
    <xdr:graphicFrame macro="">
      <xdr:nvGraphicFramePr>
        <xdr:cNvPr id="4" name="Chart 3">
          <a:extLst>
            <a:ext uri="{FF2B5EF4-FFF2-40B4-BE49-F238E27FC236}">
              <a16:creationId xmlns:a16="http://schemas.microsoft.com/office/drawing/2014/main" id="{86E3ADED-4846-5178-156F-D0A71A22A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17</xdr:row>
      <xdr:rowOff>60960</xdr:rowOff>
    </xdr:to>
    <xdr:graphicFrame macro="">
      <xdr:nvGraphicFramePr>
        <xdr:cNvPr id="2" name="Chart 1">
          <a:extLst>
            <a:ext uri="{FF2B5EF4-FFF2-40B4-BE49-F238E27FC236}">
              <a16:creationId xmlns:a16="http://schemas.microsoft.com/office/drawing/2014/main" id="{5AEB91CA-EDEE-21CB-FCB2-F0E116AE2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114300</xdr:colOff>
      <xdr:row>1</xdr:row>
      <xdr:rowOff>7620</xdr:rowOff>
    </xdr:from>
    <xdr:to>
      <xdr:col>6</xdr:col>
      <xdr:colOff>56700</xdr:colOff>
      <xdr:row>16</xdr:row>
      <xdr:rowOff>13020</xdr:rowOff>
    </xdr:to>
    <xdr:graphicFrame macro="">
      <xdr:nvGraphicFramePr>
        <xdr:cNvPr id="3" name="Chart 2">
          <a:extLst>
            <a:ext uri="{FF2B5EF4-FFF2-40B4-BE49-F238E27FC236}">
              <a16:creationId xmlns:a16="http://schemas.microsoft.com/office/drawing/2014/main" id="{41FFA62A-D1A2-4951-B8E3-6A0FCB121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16</xdr:row>
      <xdr:rowOff>83820</xdr:rowOff>
    </xdr:from>
    <xdr:to>
      <xdr:col>6</xdr:col>
      <xdr:colOff>26220</xdr:colOff>
      <xdr:row>31</xdr:row>
      <xdr:rowOff>89220</xdr:rowOff>
    </xdr:to>
    <xdr:graphicFrame macro="">
      <xdr:nvGraphicFramePr>
        <xdr:cNvPr id="5" name="Chart 4">
          <a:extLst>
            <a:ext uri="{FF2B5EF4-FFF2-40B4-BE49-F238E27FC236}">
              <a16:creationId xmlns:a16="http://schemas.microsoft.com/office/drawing/2014/main" id="{60D91D65-AF87-4210-8CCE-C82F9F5F6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160020</xdr:colOff>
      <xdr:row>1</xdr:row>
      <xdr:rowOff>0</xdr:rowOff>
    </xdr:from>
    <xdr:to>
      <xdr:col>12</xdr:col>
      <xdr:colOff>102420</xdr:colOff>
      <xdr:row>16</xdr:row>
      <xdr:rowOff>5400</xdr:rowOff>
    </xdr:to>
    <xdr:graphicFrame macro="">
      <xdr:nvGraphicFramePr>
        <xdr:cNvPr id="7" name="Chart 6">
          <a:extLst>
            <a:ext uri="{FF2B5EF4-FFF2-40B4-BE49-F238E27FC236}">
              <a16:creationId xmlns:a16="http://schemas.microsoft.com/office/drawing/2014/main" id="{C0B619B4-33DA-4B41-B06F-253D86063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167640</xdr:colOff>
      <xdr:row>16</xdr:row>
      <xdr:rowOff>83820</xdr:rowOff>
    </xdr:from>
    <xdr:to>
      <xdr:col>12</xdr:col>
      <xdr:colOff>110040</xdr:colOff>
      <xdr:row>31</xdr:row>
      <xdr:rowOff>89220</xdr:rowOff>
    </xdr:to>
    <xdr:graphicFrame macro="">
      <xdr:nvGraphicFramePr>
        <xdr:cNvPr id="2" name="Chart 1">
          <a:extLst>
            <a:ext uri="{FF2B5EF4-FFF2-40B4-BE49-F238E27FC236}">
              <a16:creationId xmlns:a16="http://schemas.microsoft.com/office/drawing/2014/main" id="{53905B79-5438-4866-9870-1F18CE1CD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255758</xdr:colOff>
      <xdr:row>8</xdr:row>
      <xdr:rowOff>127001</xdr:rowOff>
    </xdr:from>
    <xdr:to>
      <xdr:col>15</xdr:col>
      <xdr:colOff>267481</xdr:colOff>
      <xdr:row>18</xdr:row>
      <xdr:rowOff>87923</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897E2DE7-3F5E-84A6-7AAC-BBA47979D7B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631918" y="2222501"/>
              <a:ext cx="1840523" cy="1637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266895</xdr:colOff>
      <xdr:row>1</xdr:row>
      <xdr:rowOff>19540</xdr:rowOff>
    </xdr:from>
    <xdr:to>
      <xdr:col>15</xdr:col>
      <xdr:colOff>351691</xdr:colOff>
      <xdr:row>8</xdr:row>
      <xdr:rowOff>9770</xdr:rowOff>
    </xdr:to>
    <mc:AlternateContent xmlns:mc="http://schemas.openxmlformats.org/markup-compatibility/2006" xmlns:a14="http://schemas.microsoft.com/office/drawing/2010/main">
      <mc:Choice Requires="a14">
        <xdr:graphicFrame macro="">
          <xdr:nvGraphicFramePr>
            <xdr:cNvPr id="6" name="Salesperson ID">
              <a:extLst>
                <a:ext uri="{FF2B5EF4-FFF2-40B4-BE49-F238E27FC236}">
                  <a16:creationId xmlns:a16="http://schemas.microsoft.com/office/drawing/2014/main" id="{BB6D27FB-886B-AA1D-42C8-F7E3B5F4CEAD}"/>
                </a:ext>
              </a:extLst>
            </xdr:cNvPr>
            <xdr:cNvGraphicFramePr/>
          </xdr:nvGraphicFramePr>
          <xdr:xfrm>
            <a:off x="0" y="0"/>
            <a:ext cx="0" cy="0"/>
          </xdr:xfrm>
          <a:graphic>
            <a:graphicData uri="http://schemas.microsoft.com/office/drawing/2010/slicer">
              <sle:slicer xmlns:sle="http://schemas.microsoft.com/office/drawing/2010/slicer" name="Salesperson ID"/>
            </a:graphicData>
          </a:graphic>
        </xdr:graphicFrame>
      </mc:Choice>
      <mc:Fallback xmlns="">
        <xdr:sp macro="" textlink="">
          <xdr:nvSpPr>
            <xdr:cNvPr id="0" name=""/>
            <xdr:cNvSpPr>
              <a:spLocks noTextEdit="1"/>
            </xdr:cNvSpPr>
          </xdr:nvSpPr>
          <xdr:spPr>
            <a:xfrm>
              <a:off x="7643055" y="941560"/>
              <a:ext cx="1913596" cy="1163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272976</xdr:colOff>
      <xdr:row>19</xdr:row>
      <xdr:rowOff>34962</xdr:rowOff>
    </xdr:from>
    <xdr:to>
      <xdr:col>17</xdr:col>
      <xdr:colOff>80682</xdr:colOff>
      <xdr:row>25</xdr:row>
      <xdr:rowOff>53787</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F148B7BA-5296-B147-9B38-B49F891827F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649136" y="3974502"/>
              <a:ext cx="2855706" cy="10246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394448</xdr:colOff>
      <xdr:row>0</xdr:row>
      <xdr:rowOff>17930</xdr:rowOff>
    </xdr:from>
    <xdr:to>
      <xdr:col>9</xdr:col>
      <xdr:colOff>35860</xdr:colOff>
      <xdr:row>0</xdr:row>
      <xdr:rowOff>878542</xdr:rowOff>
    </xdr:to>
    <xdr:pic>
      <xdr:nvPicPr>
        <xdr:cNvPr id="10" name="Graphic 9" descr="Money">
          <a:extLst>
            <a:ext uri="{FF2B5EF4-FFF2-40B4-BE49-F238E27FC236}">
              <a16:creationId xmlns:a16="http://schemas.microsoft.com/office/drawing/2014/main" id="{794431C9-896E-57FE-0994-4B4CC0521CE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61648" y="17930"/>
          <a:ext cx="860612" cy="8606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Vast" refreshedDate="45944.693623032406" createdVersion="8" refreshedVersion="8" minRefreshableVersion="3" recordCount="11" xr:uid="{8DABB611-E789-4F52-A454-DB74D9C7F1F2}">
  <cacheSource type="worksheet">
    <worksheetSource ref="A2:P1048576" sheet="make a table to export sheets "/>
  </cacheSource>
  <cacheFields count="16">
    <cacheField name="Order ID" numFmtId="0">
      <sharedItems containsBlank="1"/>
    </cacheField>
    <cacheField name="Order Date" numFmtId="0">
      <sharedItems containsNonDate="0" containsDate="1" containsString="0" containsBlank="1" minDate="2024-10-01T00:00:00" maxDate="2024-10-06T00:00:00"/>
    </cacheField>
    <cacheField name="Customer Name" numFmtId="0">
      <sharedItems containsBlank="1"/>
    </cacheField>
    <cacheField name="Customer Email" numFmtId="0">
      <sharedItems containsBlank="1"/>
    </cacheField>
    <cacheField name="Product ID" numFmtId="0">
      <sharedItems containsBlank="1"/>
    </cacheField>
    <cacheField name="Product Name" numFmtId="0">
      <sharedItems containsBlank="1"/>
    </cacheField>
    <cacheField name="Category" numFmtId="0">
      <sharedItems containsBlank="1"/>
    </cacheField>
    <cacheField name="Quantity" numFmtId="0">
      <sharedItems containsString="0" containsBlank="1" containsNumber="1" containsInteger="1" minValue="1" maxValue="10"/>
    </cacheField>
    <cacheField name="Unit Price (₹)" numFmtId="0">
      <sharedItems containsString="0" containsBlank="1" containsNumber="1" containsInteger="1" minValue="66" maxValue="78000"/>
    </cacheField>
    <cacheField name="Gross Sale (₹)" numFmtId="0">
      <sharedItems containsString="0" containsBlank="1" containsNumber="1" containsInteger="1" minValue="660" maxValue="78000"/>
    </cacheField>
    <cacheField name="Discount (%)" numFmtId="0">
      <sharedItems containsString="0" containsBlank="1" containsNumber="1" minValue="0" maxValue="0.15"/>
    </cacheField>
    <cacheField name="Net Sale (₹)" numFmtId="0">
      <sharedItems containsString="0" containsBlank="1" containsNumber="1" containsInteger="1" minValue="660" maxValue="74100"/>
    </cacheField>
    <cacheField name="Payment Method" numFmtId="0">
      <sharedItems containsBlank="1"/>
    </cacheField>
    <cacheField name="City" numFmtId="0">
      <sharedItems containsBlank="1" count="11">
        <s v="Mumbai"/>
        <s v="Hyderabad"/>
        <s v="Delhi"/>
        <s v="Ahmedabad"/>
        <s v="Chennai"/>
        <s v="Bangalore"/>
        <s v="Pune"/>
        <s v="Kolkata"/>
        <s v="Lucknow"/>
        <s v="Jaipur"/>
        <m/>
      </sharedItems>
    </cacheField>
    <cacheField name="State" numFmtId="0">
      <sharedItems containsBlank="1" count="10">
        <s v="Maharashtra"/>
        <s v="Telangana"/>
        <s v="Delhi"/>
        <s v="Gujarat"/>
        <s v="Tamil Nadu"/>
        <s v="Karnataka"/>
        <s v="West Bengal"/>
        <s v="Uttar Pradesh"/>
        <s v="Rajasthan"/>
        <m/>
      </sharedItems>
    </cacheField>
    <cacheField name="Salesperson I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Vast" refreshedDate="45944.714543055554" createdVersion="8" refreshedVersion="8" minRefreshableVersion="3" recordCount="10" xr:uid="{89D1DE70-DC62-465B-B6E9-3242F031B45D}">
  <cacheSource type="worksheet">
    <worksheetSource name="Table1"/>
  </cacheSource>
  <cacheFields count="16">
    <cacheField name="Order ID" numFmtId="0">
      <sharedItems/>
    </cacheField>
    <cacheField name="Order Date" numFmtId="164">
      <sharedItems containsSemiMixedTypes="0" containsNonDate="0" containsDate="1" containsString="0" minDate="2024-10-01T00:00:00" maxDate="2024-10-06T00:00:00" count="5">
        <d v="2024-10-01T00:00:00"/>
        <d v="2024-10-02T00:00:00"/>
        <d v="2024-10-03T00:00:00"/>
        <d v="2024-10-04T00:00:00"/>
        <d v="2024-10-05T00:00:00"/>
      </sharedItems>
    </cacheField>
    <cacheField name="Customer Name" numFmtId="0">
      <sharedItems/>
    </cacheField>
    <cacheField name="Customer Email" numFmtId="0">
      <sharedItems/>
    </cacheField>
    <cacheField name="Product ID" numFmtId="0">
      <sharedItems/>
    </cacheField>
    <cacheField name="Product Name" numFmtId="0">
      <sharedItems count="10">
        <s v="Samsung 55&quot; QLED TV"/>
        <s v="Nike Air Max Shoes"/>
        <s v="&quot;The Psychology of Money&quot;"/>
        <s v="Philips Air Fryer"/>
        <s v="5kg Aashirvaad Atta"/>
        <s v="Apple AirPods Pro"/>
        <s v="Fabindia Silk Kurta"/>
        <s v="Prestige Induction Cooktop"/>
        <s v="1L Amul Gold Milk"/>
        <s v="Boat Airdopes 131"/>
      </sharedItems>
    </cacheField>
    <cacheField name="Category" numFmtId="0">
      <sharedItems/>
    </cacheField>
    <cacheField name="Quantity" numFmtId="0">
      <sharedItems containsSemiMixedTypes="0" containsString="0" containsNumber="1" containsInteger="1" minValue="1" maxValue="10"/>
    </cacheField>
    <cacheField name="Unit Price (₹)" numFmtId="0">
      <sharedItems containsSemiMixedTypes="0" containsString="0" containsNumber="1" containsInteger="1" minValue="66" maxValue="78000"/>
    </cacheField>
    <cacheField name="Gross Sale (₹)" numFmtId="0">
      <sharedItems containsSemiMixedTypes="0" containsString="0" containsNumber="1" containsInteger="1" minValue="660" maxValue="78000"/>
    </cacheField>
    <cacheField name="Discount (%)" numFmtId="9">
      <sharedItems containsSemiMixedTypes="0" containsString="0" containsNumber="1" minValue="0" maxValue="0.15"/>
    </cacheField>
    <cacheField name="Net Sale (₹)" numFmtId="0">
      <sharedItems containsSemiMixedTypes="0" containsString="0" containsNumber="1" containsInteger="1" minValue="660" maxValue="74100" count="10">
        <n v="74100"/>
        <n v="15300"/>
        <n v="1050"/>
        <n v="9200"/>
        <n v="1250"/>
        <n v="22000"/>
        <n v="4760"/>
        <n v="2945"/>
        <n v="660"/>
        <n v="1299"/>
      </sharedItems>
      <fieldGroup base="11">
        <rangePr startNum="660" endNum="74100" groupInterval="1000"/>
        <groupItems count="76">
          <s v="&lt;660"/>
          <s v="660-1659"/>
          <s v="1660-2659"/>
          <s v="2660-3659"/>
          <s v="3660-4659"/>
          <s v="4660-5659"/>
          <s v="5660-6659"/>
          <s v="6660-7659"/>
          <s v="7660-8659"/>
          <s v="8660-9659"/>
          <s v="9660-10659"/>
          <s v="10660-11659"/>
          <s v="11660-12659"/>
          <s v="12660-13659"/>
          <s v="13660-14659"/>
          <s v="14660-15659"/>
          <s v="15660-16659"/>
          <s v="16660-17659"/>
          <s v="17660-18659"/>
          <s v="18660-19659"/>
          <s v="19660-20659"/>
          <s v="20660-21659"/>
          <s v="21660-22659"/>
          <s v="22660-23659"/>
          <s v="23660-24659"/>
          <s v="24660-25659"/>
          <s v="25660-26659"/>
          <s v="26660-27659"/>
          <s v="27660-28659"/>
          <s v="28660-29659"/>
          <s v="29660-30659"/>
          <s v="30660-31659"/>
          <s v="31660-32659"/>
          <s v="32660-33659"/>
          <s v="33660-34659"/>
          <s v="34660-35659"/>
          <s v="35660-36659"/>
          <s v="36660-37659"/>
          <s v="37660-38659"/>
          <s v="38660-39659"/>
          <s v="39660-40659"/>
          <s v="40660-41659"/>
          <s v="41660-42659"/>
          <s v="42660-43659"/>
          <s v="43660-44659"/>
          <s v="44660-45659"/>
          <s v="45660-46659"/>
          <s v="46660-47659"/>
          <s v="47660-48659"/>
          <s v="48660-49659"/>
          <s v="49660-50659"/>
          <s v="50660-51659"/>
          <s v="51660-52659"/>
          <s v="52660-53659"/>
          <s v="53660-54659"/>
          <s v="54660-55659"/>
          <s v="55660-56659"/>
          <s v="56660-57659"/>
          <s v="57660-58659"/>
          <s v="58660-59659"/>
          <s v="59660-60659"/>
          <s v="60660-61659"/>
          <s v="61660-62659"/>
          <s v="62660-63659"/>
          <s v="63660-64659"/>
          <s v="64660-65659"/>
          <s v="65660-66659"/>
          <s v="66660-67659"/>
          <s v="67660-68659"/>
          <s v="68660-69659"/>
          <s v="69660-70659"/>
          <s v="70660-71659"/>
          <s v="71660-72659"/>
          <s v="72660-73659"/>
          <s v="73660-74659"/>
          <s v="&gt;74660"/>
        </groupItems>
      </fieldGroup>
    </cacheField>
    <cacheField name="Payment Method" numFmtId="0">
      <sharedItems/>
    </cacheField>
    <cacheField name="City" numFmtId="0">
      <sharedItems/>
    </cacheField>
    <cacheField name="State" numFmtId="0">
      <sharedItems count="9">
        <s v="Maharashtra"/>
        <s v="Telangana"/>
        <s v="Delhi"/>
        <s v="Gujarat"/>
        <s v="Tamil Nadu"/>
        <s v="Karnataka"/>
        <s v="West Bengal"/>
        <s v="Uttar Pradesh"/>
        <s v="Rajasthan"/>
      </sharedItems>
    </cacheField>
    <cacheField name="Salesperson ID" numFmtId="0">
      <sharedItems count="6">
        <s v="S-101"/>
        <s v="S-105"/>
        <s v="S-102"/>
        <s v="S-108"/>
        <s v="S-103"/>
        <s v="S-106"/>
      </sharedItems>
    </cacheField>
  </cacheFields>
  <extLst>
    <ext xmlns:x14="http://schemas.microsoft.com/office/spreadsheetml/2009/9/main" uri="{725AE2AE-9491-48be-B2B4-4EB974FC3084}">
      <x14:pivotCacheDefinition pivotCacheId="464277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ORD-24001"/>
    <d v="2024-10-01T00:00:00"/>
    <s v="Priya Sharma"/>
    <s v="priya.s@example.com"/>
    <s v="P-EL-0012"/>
    <s v="Samsung 55&quot; QLED TV"/>
    <s v="Electronics"/>
    <n v="1"/>
    <n v="78000"/>
    <n v="78000"/>
    <n v="0.05"/>
    <n v="74100"/>
    <s v="UPI"/>
    <x v="0"/>
    <x v="0"/>
    <s v="S-101"/>
  </r>
  <r>
    <s v="ORD-24002"/>
    <d v="2024-10-01T00:00:00"/>
    <s v="Arjun Reddy"/>
    <s v="areddy@example.com"/>
    <s v="P-FS-0034"/>
    <s v="Nike Air Max Shoes"/>
    <s v="Fashion"/>
    <n v="2"/>
    <n v="8500"/>
    <n v="17000"/>
    <n v="0.1"/>
    <n v="15300"/>
    <s v="Credit Card"/>
    <x v="1"/>
    <x v="1"/>
    <s v="S-105"/>
  </r>
  <r>
    <s v="ORD-24003"/>
    <d v="2024-10-02T00:00:00"/>
    <s v="Ananya Gupta"/>
    <s v="ananya.g@example.com"/>
    <s v="P-BK-0101"/>
    <s v="&quot;The Psychology of Money&quot;"/>
    <s v="Books"/>
    <n v="3"/>
    <n v="350"/>
    <n v="1050"/>
    <n v="0"/>
    <n v="1050"/>
    <s v="Debit Card"/>
    <x v="2"/>
    <x v="2"/>
    <s v="S-102"/>
  </r>
  <r>
    <s v="ORD-24004"/>
    <d v="2024-10-02T00:00:00"/>
    <s v="Rohan Patel"/>
    <s v="r.patel@example.com"/>
    <s v="P-HG-0078"/>
    <s v="Philips Air Fryer"/>
    <s v="Home &amp; Kitchen"/>
    <n v="1"/>
    <n v="9200"/>
    <n v="9200"/>
    <n v="0"/>
    <n v="9200"/>
    <s v="Net Banking"/>
    <x v="3"/>
    <x v="3"/>
    <s v="S-101"/>
  </r>
  <r>
    <s v="ORD-24005"/>
    <d v="2024-10-03T00:00:00"/>
    <s v="Meera Krishnan"/>
    <s v="meera.k@example.com"/>
    <s v="P-GR-0210"/>
    <s v="5kg Aashirvaad Atta"/>
    <s v="Groceries"/>
    <n v="5"/>
    <n v="250"/>
    <n v="1250"/>
    <n v="0"/>
    <n v="1250"/>
    <s v="Cash on Delivery"/>
    <x v="4"/>
    <x v="4"/>
    <s v="S-108"/>
  </r>
  <r>
    <s v="ORD-24006"/>
    <d v="2024-10-03T00:00:00"/>
    <s v="Vikram Singh"/>
    <s v="vsingh@example.com"/>
    <s v="P-EL-0025"/>
    <s v="Apple AirPods Pro"/>
    <s v="Electronics"/>
    <n v="1"/>
    <n v="22000"/>
    <n v="22000"/>
    <n v="0"/>
    <n v="22000"/>
    <s v="UPI"/>
    <x v="5"/>
    <x v="5"/>
    <s v="S-103"/>
  </r>
  <r>
    <s v="ORD-24007"/>
    <d v="2024-10-04T00:00:00"/>
    <s v="Sneha Desai"/>
    <s v="snehadesai@example.com"/>
    <s v="P-FS-0056"/>
    <s v="Fabindia Silk Kurta"/>
    <s v="Fashion"/>
    <n v="2"/>
    <n v="2800"/>
    <n v="5600"/>
    <n v="0.15"/>
    <n v="4760"/>
    <s v="Credit Card"/>
    <x v="6"/>
    <x v="0"/>
    <s v="S-101"/>
  </r>
  <r>
    <s v="ORD-24008"/>
    <d v="2024-10-04T00:00:00"/>
    <s v="Aditya Bose"/>
    <s v="adityab@example.com"/>
    <s v="P-HG-0091"/>
    <s v="Prestige Induction Cooktop"/>
    <s v="Home &amp; Kitchen"/>
    <n v="1"/>
    <n v="3100"/>
    <n v="3100"/>
    <n v="0.05"/>
    <n v="2945"/>
    <s v="Debit Card"/>
    <x v="7"/>
    <x v="6"/>
    <s v="S-106"/>
  </r>
  <r>
    <s v="ORD-24009"/>
    <d v="2024-10-05T00:00:00"/>
    <s v="Fatima Sheikh"/>
    <s v="fatima.s@example.com"/>
    <s v="P-GR-0305"/>
    <s v="1L Amul Gold Milk"/>
    <s v="Groceries"/>
    <n v="10"/>
    <n v="66"/>
    <n v="660"/>
    <n v="0"/>
    <n v="660"/>
    <s v="Cash on Delivery"/>
    <x v="8"/>
    <x v="7"/>
    <s v="S-108"/>
  </r>
  <r>
    <s v="ORD-24010"/>
    <d v="2024-10-05T00:00:00"/>
    <s v="Rajesh Kumar"/>
    <s v="rajesh.k@example.com"/>
    <s v="P-EL-0045"/>
    <s v="Boat Airdopes 131"/>
    <s v="Electronics"/>
    <n v="1"/>
    <n v="1299"/>
    <n v="1299"/>
    <n v="0"/>
    <n v="1299"/>
    <s v="UPI"/>
    <x v="9"/>
    <x v="8"/>
    <s v="S-102"/>
  </r>
  <r>
    <m/>
    <m/>
    <m/>
    <m/>
    <m/>
    <m/>
    <m/>
    <m/>
    <m/>
    <m/>
    <m/>
    <m/>
    <m/>
    <x v="10"/>
    <x v="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RD-24001"/>
    <x v="0"/>
    <s v="Priya Sharma"/>
    <s v="priya.s@example.com"/>
    <s v="P-EL-0012"/>
    <x v="0"/>
    <s v="Electronics"/>
    <n v="1"/>
    <n v="78000"/>
    <n v="78000"/>
    <n v="0.05"/>
    <x v="0"/>
    <s v="UPI"/>
    <s v="Mumbai"/>
    <x v="0"/>
    <x v="0"/>
  </r>
  <r>
    <s v="ORD-24002"/>
    <x v="0"/>
    <s v="Arjun Reddy"/>
    <s v="areddy@example.com"/>
    <s v="P-FS-0034"/>
    <x v="1"/>
    <s v="Fashion"/>
    <n v="2"/>
    <n v="8500"/>
    <n v="17000"/>
    <n v="0.1"/>
    <x v="1"/>
    <s v="Credit Card"/>
    <s v="Hyderabad"/>
    <x v="1"/>
    <x v="1"/>
  </r>
  <r>
    <s v="ORD-24003"/>
    <x v="1"/>
    <s v="Ananya Gupta"/>
    <s v="ananya.g@example.com"/>
    <s v="P-BK-0101"/>
    <x v="2"/>
    <s v="Books"/>
    <n v="3"/>
    <n v="350"/>
    <n v="1050"/>
    <n v="0"/>
    <x v="2"/>
    <s v="Debit Card"/>
    <s v="Delhi"/>
    <x v="2"/>
    <x v="2"/>
  </r>
  <r>
    <s v="ORD-24004"/>
    <x v="1"/>
    <s v="Rohan Patel"/>
    <s v="r.patel@example.com"/>
    <s v="P-HG-0078"/>
    <x v="3"/>
    <s v="Home &amp; Kitchen"/>
    <n v="1"/>
    <n v="9200"/>
    <n v="9200"/>
    <n v="0"/>
    <x v="3"/>
    <s v="Net Banking"/>
    <s v="Ahmedabad"/>
    <x v="3"/>
    <x v="0"/>
  </r>
  <r>
    <s v="ORD-24005"/>
    <x v="2"/>
    <s v="Meera Krishnan"/>
    <s v="meera.k@example.com"/>
    <s v="P-GR-0210"/>
    <x v="4"/>
    <s v="Groceries"/>
    <n v="5"/>
    <n v="250"/>
    <n v="1250"/>
    <n v="0"/>
    <x v="4"/>
    <s v="Cash on Delivery"/>
    <s v="Chennai"/>
    <x v="4"/>
    <x v="3"/>
  </r>
  <r>
    <s v="ORD-24006"/>
    <x v="2"/>
    <s v="Vikram Singh"/>
    <s v="vsingh@example.com"/>
    <s v="P-EL-0025"/>
    <x v="5"/>
    <s v="Electronics"/>
    <n v="1"/>
    <n v="22000"/>
    <n v="22000"/>
    <n v="0"/>
    <x v="5"/>
    <s v="UPI"/>
    <s v="Bangalore"/>
    <x v="5"/>
    <x v="4"/>
  </r>
  <r>
    <s v="ORD-24007"/>
    <x v="3"/>
    <s v="Sneha Desai"/>
    <s v="snehadesai@example.com"/>
    <s v="P-FS-0056"/>
    <x v="6"/>
    <s v="Fashion"/>
    <n v="2"/>
    <n v="2800"/>
    <n v="5600"/>
    <n v="0.15"/>
    <x v="6"/>
    <s v="Credit Card"/>
    <s v="Pune"/>
    <x v="0"/>
    <x v="0"/>
  </r>
  <r>
    <s v="ORD-24008"/>
    <x v="3"/>
    <s v="Aditya Bose"/>
    <s v="adityab@example.com"/>
    <s v="P-HG-0091"/>
    <x v="7"/>
    <s v="Home &amp; Kitchen"/>
    <n v="1"/>
    <n v="3100"/>
    <n v="3100"/>
    <n v="0.05"/>
    <x v="7"/>
    <s v="Debit Card"/>
    <s v="Kolkata"/>
    <x v="6"/>
    <x v="5"/>
  </r>
  <r>
    <s v="ORD-24009"/>
    <x v="4"/>
    <s v="Fatima Sheikh"/>
    <s v="fatima.s@example.com"/>
    <s v="P-GR-0305"/>
    <x v="8"/>
    <s v="Groceries"/>
    <n v="10"/>
    <n v="66"/>
    <n v="660"/>
    <n v="0"/>
    <x v="8"/>
    <s v="Cash on Delivery"/>
    <s v="Lucknow"/>
    <x v="7"/>
    <x v="3"/>
  </r>
  <r>
    <s v="ORD-24010"/>
    <x v="4"/>
    <s v="Rajesh Kumar"/>
    <s v="rajesh.k@example.com"/>
    <s v="P-EL-0045"/>
    <x v="9"/>
    <s v="Electronics"/>
    <n v="1"/>
    <n v="1299"/>
    <n v="1299"/>
    <n v="0"/>
    <x v="9"/>
    <s v="UPI"/>
    <s v="Jaipur"/>
    <x v="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ED44B1-718B-41F0-B4CC-3F3589C851FC}" name="PivotTable4" cacheId="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5" firstHeaderRow="1" firstDataRow="1" firstDataCol="1"/>
  <pivotFields count="16">
    <pivotField showAll="0"/>
    <pivotField numFmtId="164" showAll="0">
      <items count="6">
        <item x="0"/>
        <item x="1"/>
        <item x="2"/>
        <item x="3"/>
        <item x="4"/>
        <item t="default"/>
      </items>
    </pivotField>
    <pivotField showAll="0"/>
    <pivotField showAll="0"/>
    <pivotField showAll="0"/>
    <pivotField axis="axisRow" showAll="0" measureFilter="1">
      <items count="11">
        <item x="2"/>
        <item x="8"/>
        <item x="4"/>
        <item x="5"/>
        <item x="9"/>
        <item x="6"/>
        <item x="1"/>
        <item x="3"/>
        <item x="7"/>
        <item x="0"/>
        <item t="default"/>
      </items>
    </pivotField>
    <pivotField showAll="0"/>
    <pivotField showAll="0"/>
    <pivotField showAll="0"/>
    <pivotField showAll="0"/>
    <pivotField numFmtId="9" showAll="0"/>
    <pivotField dataField="1" showAll="0"/>
    <pivotField showAll="0"/>
    <pivotField showAll="0"/>
    <pivotField showAll="0">
      <items count="10">
        <item x="2"/>
        <item x="3"/>
        <item x="5"/>
        <item x="0"/>
        <item x="8"/>
        <item x="4"/>
        <item x="1"/>
        <item x="7"/>
        <item x="6"/>
        <item t="default"/>
      </items>
    </pivotField>
    <pivotField showAll="0">
      <items count="7">
        <item x="0"/>
        <item h="1" x="2"/>
        <item h="1" x="4"/>
        <item h="1" x="1"/>
        <item h="1" x="5"/>
        <item h="1" x="3"/>
        <item t="default"/>
      </items>
    </pivotField>
  </pivotFields>
  <rowFields count="1">
    <field x="5"/>
  </rowFields>
  <rowItems count="4">
    <i>
      <x v="5"/>
    </i>
    <i>
      <x v="7"/>
    </i>
    <i>
      <x v="9"/>
    </i>
    <i t="grand">
      <x/>
    </i>
  </rowItems>
  <colItems count="1">
    <i/>
  </colItems>
  <dataFields count="1">
    <dataField name="Sum of Net Sale (₹)" fld="11" baseField="5"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 chart="0" format="10">
      <pivotArea type="data" outline="0" fieldPosition="0">
        <references count="2">
          <reference field="4294967294" count="1" selected="0">
            <x v="0"/>
          </reference>
          <reference field="5" count="1" selected="0">
            <x v="9"/>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5" count="1" selected="0">
            <x v="0"/>
          </reference>
        </references>
      </pivotArea>
    </chartFormat>
    <chartFormat chart="5" format="24">
      <pivotArea type="data" outline="0" fieldPosition="0">
        <references count="2">
          <reference field="4294967294" count="1" selected="0">
            <x v="0"/>
          </reference>
          <reference field="5" count="1" selected="0">
            <x v="1"/>
          </reference>
        </references>
      </pivotArea>
    </chartFormat>
    <chartFormat chart="5" format="25">
      <pivotArea type="data" outline="0" fieldPosition="0">
        <references count="2">
          <reference field="4294967294" count="1" selected="0">
            <x v="0"/>
          </reference>
          <reference field="5" count="1" selected="0">
            <x v="2"/>
          </reference>
        </references>
      </pivotArea>
    </chartFormat>
    <chartFormat chart="5" format="26">
      <pivotArea type="data" outline="0" fieldPosition="0">
        <references count="2">
          <reference field="4294967294" count="1" selected="0">
            <x v="0"/>
          </reference>
          <reference field="5" count="1" selected="0">
            <x v="3"/>
          </reference>
        </references>
      </pivotArea>
    </chartFormat>
    <chartFormat chart="5" format="27">
      <pivotArea type="data" outline="0" fieldPosition="0">
        <references count="2">
          <reference field="4294967294" count="1" selected="0">
            <x v="0"/>
          </reference>
          <reference field="5" count="1" selected="0">
            <x v="4"/>
          </reference>
        </references>
      </pivotArea>
    </chartFormat>
    <chartFormat chart="5" format="28">
      <pivotArea type="data" outline="0" fieldPosition="0">
        <references count="2">
          <reference field="4294967294" count="1" selected="0">
            <x v="0"/>
          </reference>
          <reference field="5" count="1" selected="0">
            <x v="5"/>
          </reference>
        </references>
      </pivotArea>
    </chartFormat>
    <chartFormat chart="5" format="29">
      <pivotArea type="data" outline="0" fieldPosition="0">
        <references count="2">
          <reference field="4294967294" count="1" selected="0">
            <x v="0"/>
          </reference>
          <reference field="5" count="1" selected="0">
            <x v="6"/>
          </reference>
        </references>
      </pivotArea>
    </chartFormat>
    <chartFormat chart="5" format="30">
      <pivotArea type="data" outline="0" fieldPosition="0">
        <references count="2">
          <reference field="4294967294" count="1" selected="0">
            <x v="0"/>
          </reference>
          <reference field="5" count="1" selected="0">
            <x v="7"/>
          </reference>
        </references>
      </pivotArea>
    </chartFormat>
    <chartFormat chart="5" format="31">
      <pivotArea type="data" outline="0" fieldPosition="0">
        <references count="2">
          <reference field="4294967294" count="1" selected="0">
            <x v="0"/>
          </reference>
          <reference field="5" count="1" selected="0">
            <x v="8"/>
          </reference>
        </references>
      </pivotArea>
    </chartFormat>
    <chartFormat chart="5" format="32">
      <pivotArea type="data" outline="0" fieldPosition="0">
        <references count="2">
          <reference field="4294967294" count="1" selected="0">
            <x v="0"/>
          </reference>
          <reference field="5" count="1" selected="0">
            <x v="9"/>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5" count="1" selected="0">
            <x v="3"/>
          </reference>
        </references>
      </pivotArea>
    </chartFormat>
    <chartFormat chart="6" format="13">
      <pivotArea type="data" outline="0" fieldPosition="0">
        <references count="2">
          <reference field="4294967294" count="1" selected="0">
            <x v="0"/>
          </reference>
          <reference field="5" count="1" selected="0">
            <x v="5"/>
          </reference>
        </references>
      </pivotArea>
    </chartFormat>
    <chartFormat chart="6" format="14">
      <pivotArea type="data" outline="0" fieldPosition="0">
        <references count="2">
          <reference field="4294967294" count="1" selected="0">
            <x v="0"/>
          </reference>
          <reference field="5" count="1" selected="0">
            <x v="6"/>
          </reference>
        </references>
      </pivotArea>
    </chartFormat>
    <chartFormat chart="6" format="15">
      <pivotArea type="data" outline="0" fieldPosition="0">
        <references count="2">
          <reference field="4294967294" count="1" selected="0">
            <x v="0"/>
          </reference>
          <reference field="5" count="1" selected="0">
            <x v="7"/>
          </reference>
        </references>
      </pivotArea>
    </chartFormat>
    <chartFormat chart="6" format="16">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F2ED6-C8EC-4EA7-B6CC-ED07B820ABD4}"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1"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2">
        <item x="3"/>
        <item x="5"/>
        <item x="4"/>
        <item x="2"/>
        <item x="1"/>
        <item x="9"/>
        <item x="7"/>
        <item x="8"/>
        <item x="0"/>
        <item x="6"/>
        <item x="10"/>
        <item t="default"/>
      </items>
    </pivotField>
    <pivotField axis="axisRow" showAll="0" sortType="descending">
      <items count="11">
        <item x="2"/>
        <item x="3"/>
        <item x="5"/>
        <item x="0"/>
        <item x="8"/>
        <item x="4"/>
        <item x="1"/>
        <item x="7"/>
        <item x="6"/>
        <item h="1" x="9"/>
        <item t="default"/>
      </items>
      <autoSortScope>
        <pivotArea dataOnly="0" outline="0" fieldPosition="0">
          <references count="1">
            <reference field="4294967294" count="1" selected="0">
              <x v="0"/>
            </reference>
          </references>
        </pivotArea>
      </autoSortScope>
    </pivotField>
    <pivotField showAll="0"/>
  </pivotFields>
  <rowFields count="1">
    <field x="14"/>
  </rowFields>
  <rowItems count="10">
    <i>
      <x v="3"/>
    </i>
    <i>
      <x v="2"/>
    </i>
    <i>
      <x v="6"/>
    </i>
    <i>
      <x v="1"/>
    </i>
    <i>
      <x v="8"/>
    </i>
    <i>
      <x v="4"/>
    </i>
    <i>
      <x v="5"/>
    </i>
    <i>
      <x/>
    </i>
    <i>
      <x v="7"/>
    </i>
    <i t="grand">
      <x/>
    </i>
  </rowItems>
  <colItems count="1">
    <i/>
  </colItems>
  <dataFields count="1">
    <dataField name="Sum of Net Sale (₹)" fld="11" baseField="0" baseItem="0"/>
  </dataFields>
  <chartFormats count="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64EB5-8588-4DF2-851C-9C22167A4585}" name="PivotTable1" cacheId="4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25" rowHeaderCaption="NET SALE">
  <location ref="A4:B8" firstHeaderRow="1" firstDataRow="1" firstDataCol="1"/>
  <pivotFields count="16">
    <pivotField showAll="0"/>
    <pivotField numFmtId="164" showAll="0">
      <items count="6">
        <item x="0"/>
        <item x="1"/>
        <item x="2"/>
        <item x="3"/>
        <item x="4"/>
        <item t="default"/>
      </items>
    </pivotField>
    <pivotField showAll="0"/>
    <pivotField showAll="0"/>
    <pivotField showAll="0"/>
    <pivotField showAll="0"/>
    <pivotField showAll="0"/>
    <pivotField showAll="0"/>
    <pivotField showAll="0"/>
    <pivotField showAll="0"/>
    <pivotField numFmtId="9" showAll="0"/>
    <pivotField axis="axisRow" dataField="1" showAll="0">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showAll="0"/>
    <pivotField showAll="0"/>
    <pivotField showAll="0">
      <items count="10">
        <item x="2"/>
        <item x="3"/>
        <item x="5"/>
        <item x="0"/>
        <item x="8"/>
        <item x="4"/>
        <item x="1"/>
        <item x="7"/>
        <item x="6"/>
        <item t="default"/>
      </items>
    </pivotField>
    <pivotField showAll="0">
      <items count="7">
        <item x="0"/>
        <item h="1" x="2"/>
        <item h="1" x="4"/>
        <item h="1" x="1"/>
        <item h="1" x="5"/>
        <item h="1" x="3"/>
        <item t="default"/>
      </items>
    </pivotField>
  </pivotFields>
  <rowFields count="1">
    <field x="11"/>
  </rowFields>
  <rowItems count="4">
    <i>
      <x v="5"/>
    </i>
    <i>
      <x v="9"/>
    </i>
    <i>
      <x v="74"/>
    </i>
    <i t="grand">
      <x/>
    </i>
  </rowItems>
  <colItems count="1">
    <i/>
  </colItems>
  <dataFields count="1">
    <dataField name="Count of Net Sale (₹)" fld="11" subtotal="count" baseField="0" baseItem="0"/>
  </dataFields>
  <chartFormats count="4">
    <chartFormat chart="3"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CE4EE2-40EA-4333-9071-D2C1EE53C2C6}" name="PivotTable2" cacheId="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3" firstHeaderRow="1" firstDataRow="1" firstDataCol="1"/>
  <pivotFields count="16">
    <pivotField showAll="0"/>
    <pivotField numFmtId="164" showAll="0">
      <items count="6">
        <item x="0"/>
        <item x="1"/>
        <item x="2"/>
        <item x="3"/>
        <item x="4"/>
        <item t="default"/>
      </items>
    </pivotField>
    <pivotField showAll="0"/>
    <pivotField showAll="0"/>
    <pivotField showAll="0"/>
    <pivotField showAll="0"/>
    <pivotField showAll="0"/>
    <pivotField showAll="0"/>
    <pivotField showAll="0"/>
    <pivotField showAll="0"/>
    <pivotField numFmtId="9" showAll="0"/>
    <pivotField dataField="1" showAll="0"/>
    <pivotField showAll="0"/>
    <pivotField showAll="0"/>
    <pivotField showAll="0">
      <items count="10">
        <item x="2"/>
        <item x="3"/>
        <item x="5"/>
        <item x="0"/>
        <item x="8"/>
        <item x="4"/>
        <item x="1"/>
        <item x="7"/>
        <item x="6"/>
        <item t="default"/>
      </items>
    </pivotField>
    <pivotField axis="axisRow" showAll="0" sortType="descending">
      <items count="7">
        <item x="0"/>
        <item h="1" x="2"/>
        <item h="1" x="4"/>
        <item h="1" x="1"/>
        <item h="1" x="5"/>
        <item h="1" x="3"/>
        <item t="default"/>
      </items>
      <autoSortScope>
        <pivotArea dataOnly="0" outline="0" fieldPosition="0">
          <references count="1">
            <reference field="4294967294" count="1" selected="0">
              <x v="0"/>
            </reference>
          </references>
        </pivotArea>
      </autoSortScope>
    </pivotField>
  </pivotFields>
  <rowFields count="1">
    <field x="15"/>
  </rowFields>
  <rowItems count="2">
    <i>
      <x/>
    </i>
    <i t="grand">
      <x/>
    </i>
  </rowItems>
  <colItems count="1">
    <i/>
  </colItems>
  <dataFields count="1">
    <dataField name="Count of Net Sale (₹)" fld="1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529DB05-66AB-4FEF-9549-225ED8614F4A}" sourceName="State">
  <pivotTables>
    <pivotTable tabId="2" name="PivotTable1"/>
    <pivotTable tabId="6" name="PivotTable2"/>
    <pivotTable tabId="8" name="PivotTable4"/>
  </pivotTables>
  <data>
    <tabular pivotCacheId="464277288">
      <items count="9">
        <i x="3" s="1"/>
        <i x="0" s="1"/>
        <i x="2" s="1" nd="1"/>
        <i x="5" s="1" nd="1"/>
        <i x="8" s="1" nd="1"/>
        <i x="4" s="1" nd="1"/>
        <i x="1" s="1" nd="1"/>
        <i x="7"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_ID" xr10:uid="{7FEBCFCF-A23D-4C43-B2F3-83C44D6141AD}" sourceName="Salesperson ID">
  <pivotTables>
    <pivotTable tabId="2" name="PivotTable1"/>
    <pivotTable tabId="6" name="PivotTable2"/>
    <pivotTable tabId="8" name="PivotTable4"/>
  </pivotTables>
  <data>
    <tabular pivotCacheId="464277288">
      <items count="6">
        <i x="0" s="1"/>
        <i x="2"/>
        <i x="4"/>
        <i x="1"/>
        <i x="5"/>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B155F52-0CDB-44BD-B995-794071A40F94}" cache="Slicer_State" caption="State" columnCount="2" style="SlicerStyleLight4" rowHeight="209550"/>
  <slicer name="Salesperson ID" xr10:uid="{4B741583-1980-4F5A-8069-E244CEB6F213}" cache="Slicer_Salesperson_ID" caption="Salesperson ID" columnCount="2" style="SlicerStyleLight5"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BE817-44C8-4212-AF6B-F30C7D691432}" name="Table1" displayName="Table1" ref="A2:P12" totalsRowShown="0" headerRowDxfId="17" dataDxfId="16">
  <autoFilter ref="A2:P12" xr:uid="{016BE817-44C8-4212-AF6B-F30C7D691432}"/>
  <tableColumns count="16">
    <tableColumn id="1" xr3:uid="{6425A9C9-BF85-4801-BA52-1AC3E7A48D4F}" name="Order ID" dataDxfId="15"/>
    <tableColumn id="2" xr3:uid="{BDD1C428-955B-469C-91DD-A1A74E82AC7E}" name="Order Date" dataDxfId="14"/>
    <tableColumn id="3" xr3:uid="{7CD7581E-8B8B-4BED-8677-D4F928514A53}" name="Customer Name" dataDxfId="13"/>
    <tableColumn id="4" xr3:uid="{1476FD7D-4FA7-4A3C-82E3-8ED04E62D4C0}" name="Customer Email" dataDxfId="12"/>
    <tableColumn id="5" xr3:uid="{65FE82C1-C155-46E5-8083-B2CDE4A5CD09}" name="Product ID" dataDxfId="11"/>
    <tableColumn id="6" xr3:uid="{DC08FD1D-3056-4A07-B92B-67AA4DFC3F68}" name="Product Name" dataDxfId="10"/>
    <tableColumn id="7" xr3:uid="{2DA20007-5DE8-4AAE-B6C5-CC74AD4EAFAE}" name="Category" dataDxfId="9"/>
    <tableColumn id="8" xr3:uid="{80804164-5072-4F71-AFFC-FAA32D3998F9}" name="Quantity" dataDxfId="8"/>
    <tableColumn id="9" xr3:uid="{8BD18C7B-09E0-4591-95AD-BD392B1401D2}" name="Unit Price (₹)" dataDxfId="7"/>
    <tableColumn id="10" xr3:uid="{E8B966D6-41A2-47E6-8157-A351FF72B6A8}" name="Gross Sale (₹)" dataDxfId="6"/>
    <tableColumn id="11" xr3:uid="{31F54B46-1A72-44B4-93C9-EAE55F0D1B86}" name="Discount (%)" dataDxfId="5"/>
    <tableColumn id="12" xr3:uid="{48736C16-48DD-4E78-BEA9-3589D7A1D8BD}" name="Net Sale (₹)" dataDxfId="4"/>
    <tableColumn id="13" xr3:uid="{2AB4536E-0584-4042-887C-C938DF9E4850}" name="Payment Method" dataDxfId="3"/>
    <tableColumn id="14" xr3:uid="{0DA8A0F7-B436-40B7-A08C-9D62D82FD262}" name="City" dataDxfId="2"/>
    <tableColumn id="15" xr3:uid="{35569F17-BD33-471B-9A1C-981654845C86}" name="State" dataDxfId="1"/>
    <tableColumn id="16" xr3:uid="{37DB8C83-33C3-44FC-BC9F-1797D261487B}" name="Salesperson ID" dataDxfId="0"/>
  </tableColumns>
  <tableStyleInfo name="TableStyleLight1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EA91661-70AD-4445-AA71-94601C37019E}" sourceName="Order Date">
  <pivotTables>
    <pivotTable tabId="2" name="PivotTable1"/>
    <pivotTable tabId="6" name="PivotTable2"/>
    <pivotTable tabId="8" name="PivotTable4"/>
  </pivotTables>
  <state minimalRefreshVersion="6" lastRefreshVersion="6" pivotCacheId="464277288"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BD7FF02-F8B8-4B8E-BA3D-44DC7FBC3D5B}" cache="NativeTimeline_Order_Date" caption="Order Date" level="3" selectionLevel="3" scrollPosition="2024-09-28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B4AAC69-0DCA-455D-B787-A44E181849EB}">
  <we:reference id="wa200005271" version="2.6.1.0" store="en-US" storeType="OMEX"/>
  <we:alternateReferences>
    <we:reference id="wa200005271" version="2.6.1.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2"/>
  <sheetViews>
    <sheetView topLeftCell="A2" workbookViewId="0">
      <selection activeCell="F25" sqref="F25"/>
    </sheetView>
  </sheetViews>
  <sheetFormatPr defaultColWidth="12.6640625" defaultRowHeight="15.75" customHeight="1" x14ac:dyDescent="0.25"/>
  <cols>
    <col min="3" max="3" width="15.88671875" customWidth="1"/>
    <col min="4" max="4" width="23" customWidth="1"/>
    <col min="6" max="6" width="23.77734375" customWidth="1"/>
    <col min="9" max="9" width="13.77734375" customWidth="1"/>
    <col min="10" max="10" width="14.6640625" customWidth="1"/>
    <col min="11" max="11" width="13.5546875" customWidth="1"/>
    <col min="12" max="12" width="12.5546875" customWidth="1"/>
    <col min="13" max="13" width="16.44140625" customWidth="1"/>
    <col min="16" max="16" width="15.33203125" customWidth="1"/>
  </cols>
  <sheetData>
    <row r="1" spans="1:16" ht="15.75" customHeight="1" x14ac:dyDescent="0.25">
      <c r="E1" s="10" t="s">
        <v>103</v>
      </c>
      <c r="F1" s="10"/>
      <c r="G1" s="10"/>
      <c r="H1" s="10"/>
      <c r="I1" s="10"/>
      <c r="J1" s="10"/>
      <c r="K1" s="10"/>
      <c r="L1" s="10"/>
      <c r="M1" s="10"/>
      <c r="N1" s="10"/>
      <c r="O1" s="10"/>
      <c r="P1" s="10"/>
    </row>
    <row r="2" spans="1:16" ht="13.2"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row>
    <row r="3" spans="1:16" ht="13.2" x14ac:dyDescent="0.25">
      <c r="A3" s="1" t="s">
        <v>16</v>
      </c>
      <c r="B3" s="2">
        <v>45566</v>
      </c>
      <c r="C3" s="1" t="s">
        <v>17</v>
      </c>
      <c r="D3" s="1" t="s">
        <v>18</v>
      </c>
      <c r="E3" s="1" t="s">
        <v>19</v>
      </c>
      <c r="F3" s="1" t="s">
        <v>20</v>
      </c>
      <c r="G3" s="1" t="s">
        <v>21</v>
      </c>
      <c r="H3" s="1">
        <v>1</v>
      </c>
      <c r="I3" s="3">
        <v>78000</v>
      </c>
      <c r="J3" s="3">
        <v>78000</v>
      </c>
      <c r="K3" s="4">
        <v>0.05</v>
      </c>
      <c r="L3" s="3">
        <v>74100</v>
      </c>
      <c r="M3" s="1" t="s">
        <v>22</v>
      </c>
      <c r="N3" s="1" t="s">
        <v>23</v>
      </c>
      <c r="O3" s="1" t="s">
        <v>24</v>
      </c>
      <c r="P3" s="1" t="s">
        <v>25</v>
      </c>
    </row>
    <row r="4" spans="1:16" ht="13.2" x14ac:dyDescent="0.25">
      <c r="A4" s="1" t="s">
        <v>26</v>
      </c>
      <c r="B4" s="2">
        <v>45566</v>
      </c>
      <c r="C4" s="1" t="s">
        <v>27</v>
      </c>
      <c r="D4" s="1" t="s">
        <v>28</v>
      </c>
      <c r="E4" s="1" t="s">
        <v>29</v>
      </c>
      <c r="F4" s="1" t="s">
        <v>30</v>
      </c>
      <c r="G4" s="1" t="s">
        <v>31</v>
      </c>
      <c r="H4" s="1">
        <v>2</v>
      </c>
      <c r="I4" s="3">
        <v>8500</v>
      </c>
      <c r="J4" s="3">
        <v>17000</v>
      </c>
      <c r="K4" s="4">
        <v>0.1</v>
      </c>
      <c r="L4" s="3">
        <v>15300</v>
      </c>
      <c r="M4" s="1" t="s">
        <v>32</v>
      </c>
      <c r="N4" s="1" t="s">
        <v>33</v>
      </c>
      <c r="O4" s="1" t="s">
        <v>34</v>
      </c>
      <c r="P4" s="1" t="s">
        <v>35</v>
      </c>
    </row>
    <row r="5" spans="1:16" ht="13.2" x14ac:dyDescent="0.25">
      <c r="A5" s="1" t="s">
        <v>36</v>
      </c>
      <c r="B5" s="2">
        <v>45567</v>
      </c>
      <c r="C5" s="1" t="s">
        <v>37</v>
      </c>
      <c r="D5" s="1" t="s">
        <v>38</v>
      </c>
      <c r="E5" s="1" t="s">
        <v>39</v>
      </c>
      <c r="F5" s="1" t="s">
        <v>40</v>
      </c>
      <c r="G5" s="1" t="s">
        <v>41</v>
      </c>
      <c r="H5" s="1">
        <v>3</v>
      </c>
      <c r="I5" s="1">
        <v>350</v>
      </c>
      <c r="J5" s="3">
        <v>1050</v>
      </c>
      <c r="K5" s="4">
        <v>0</v>
      </c>
      <c r="L5" s="3">
        <v>1050</v>
      </c>
      <c r="M5" s="1" t="s">
        <v>42</v>
      </c>
      <c r="N5" s="1" t="s">
        <v>43</v>
      </c>
      <c r="O5" s="1" t="s">
        <v>43</v>
      </c>
      <c r="P5" s="1" t="s">
        <v>44</v>
      </c>
    </row>
    <row r="6" spans="1:16" ht="13.2" x14ac:dyDescent="0.25">
      <c r="A6" s="1" t="s">
        <v>45</v>
      </c>
      <c r="B6" s="2">
        <v>45567</v>
      </c>
      <c r="C6" s="1" t="s">
        <v>46</v>
      </c>
      <c r="D6" s="1" t="s">
        <v>47</v>
      </c>
      <c r="E6" s="1" t="s">
        <v>48</v>
      </c>
      <c r="F6" s="1" t="s">
        <v>49</v>
      </c>
      <c r="G6" s="1" t="s">
        <v>50</v>
      </c>
      <c r="H6" s="1">
        <v>1</v>
      </c>
      <c r="I6" s="3">
        <v>9200</v>
      </c>
      <c r="J6" s="3">
        <v>9200</v>
      </c>
      <c r="K6" s="4">
        <v>0</v>
      </c>
      <c r="L6" s="3">
        <v>9200</v>
      </c>
      <c r="M6" s="1" t="s">
        <v>51</v>
      </c>
      <c r="N6" s="1" t="s">
        <v>52</v>
      </c>
      <c r="O6" s="1" t="s">
        <v>53</v>
      </c>
      <c r="P6" s="1" t="s">
        <v>25</v>
      </c>
    </row>
    <row r="7" spans="1:16" ht="13.2" x14ac:dyDescent="0.25">
      <c r="A7" s="1" t="s">
        <v>54</v>
      </c>
      <c r="B7" s="2">
        <v>45568</v>
      </c>
      <c r="C7" s="1" t="s">
        <v>55</v>
      </c>
      <c r="D7" s="1" t="s">
        <v>56</v>
      </c>
      <c r="E7" s="1" t="s">
        <v>57</v>
      </c>
      <c r="F7" s="1" t="s">
        <v>58</v>
      </c>
      <c r="G7" s="1" t="s">
        <v>59</v>
      </c>
      <c r="H7" s="1">
        <v>5</v>
      </c>
      <c r="I7" s="1">
        <v>250</v>
      </c>
      <c r="J7" s="3">
        <v>1250</v>
      </c>
      <c r="K7" s="4">
        <v>0</v>
      </c>
      <c r="L7" s="3">
        <v>1250</v>
      </c>
      <c r="M7" s="1" t="s">
        <v>60</v>
      </c>
      <c r="N7" s="1" t="s">
        <v>61</v>
      </c>
      <c r="O7" s="1" t="s">
        <v>62</v>
      </c>
      <c r="P7" s="1" t="s">
        <v>63</v>
      </c>
    </row>
    <row r="8" spans="1:16" ht="13.2" x14ac:dyDescent="0.25">
      <c r="A8" s="1" t="s">
        <v>64</v>
      </c>
      <c r="B8" s="2">
        <v>45568</v>
      </c>
      <c r="C8" s="1" t="s">
        <v>65</v>
      </c>
      <c r="D8" s="1" t="s">
        <v>66</v>
      </c>
      <c r="E8" s="1" t="s">
        <v>67</v>
      </c>
      <c r="F8" s="1" t="s">
        <v>68</v>
      </c>
      <c r="G8" s="1" t="s">
        <v>21</v>
      </c>
      <c r="H8" s="1">
        <v>1</v>
      </c>
      <c r="I8" s="3">
        <v>22000</v>
      </c>
      <c r="J8" s="3">
        <v>22000</v>
      </c>
      <c r="K8" s="4">
        <v>0</v>
      </c>
      <c r="L8" s="3">
        <v>22000</v>
      </c>
      <c r="M8" s="1" t="s">
        <v>22</v>
      </c>
      <c r="N8" s="1" t="s">
        <v>69</v>
      </c>
      <c r="O8" s="1" t="s">
        <v>70</v>
      </c>
      <c r="P8" s="1" t="s">
        <v>71</v>
      </c>
    </row>
    <row r="9" spans="1:16" ht="13.2" x14ac:dyDescent="0.25">
      <c r="A9" s="1" t="s">
        <v>72</v>
      </c>
      <c r="B9" s="2">
        <v>45569</v>
      </c>
      <c r="C9" s="1" t="s">
        <v>73</v>
      </c>
      <c r="D9" s="1" t="s">
        <v>74</v>
      </c>
      <c r="E9" s="1" t="s">
        <v>75</v>
      </c>
      <c r="F9" s="1" t="s">
        <v>76</v>
      </c>
      <c r="G9" s="1" t="s">
        <v>31</v>
      </c>
      <c r="H9" s="1">
        <v>2</v>
      </c>
      <c r="I9" s="3">
        <v>2800</v>
      </c>
      <c r="J9" s="3">
        <v>5600</v>
      </c>
      <c r="K9" s="4">
        <v>0.15</v>
      </c>
      <c r="L9" s="3">
        <v>4760</v>
      </c>
      <c r="M9" s="1" t="s">
        <v>32</v>
      </c>
      <c r="N9" s="1" t="s">
        <v>77</v>
      </c>
      <c r="O9" s="1" t="s">
        <v>24</v>
      </c>
      <c r="P9" s="1" t="s">
        <v>25</v>
      </c>
    </row>
    <row r="10" spans="1:16" ht="13.2" x14ac:dyDescent="0.25">
      <c r="A10" s="1" t="s">
        <v>78</v>
      </c>
      <c r="B10" s="2">
        <v>45569</v>
      </c>
      <c r="C10" s="1" t="s">
        <v>79</v>
      </c>
      <c r="D10" s="1" t="s">
        <v>80</v>
      </c>
      <c r="E10" s="1" t="s">
        <v>81</v>
      </c>
      <c r="F10" s="1" t="s">
        <v>82</v>
      </c>
      <c r="G10" s="1" t="s">
        <v>50</v>
      </c>
      <c r="H10" s="1">
        <v>1</v>
      </c>
      <c r="I10" s="3">
        <v>3100</v>
      </c>
      <c r="J10" s="3">
        <v>3100</v>
      </c>
      <c r="K10" s="4">
        <v>0.05</v>
      </c>
      <c r="L10" s="3">
        <v>2945</v>
      </c>
      <c r="M10" s="1" t="s">
        <v>42</v>
      </c>
      <c r="N10" s="1" t="s">
        <v>83</v>
      </c>
      <c r="O10" s="1" t="s">
        <v>84</v>
      </c>
      <c r="P10" s="1" t="s">
        <v>85</v>
      </c>
    </row>
    <row r="11" spans="1:16" ht="13.2" x14ac:dyDescent="0.25">
      <c r="A11" s="1" t="s">
        <v>86</v>
      </c>
      <c r="B11" s="2">
        <v>45570</v>
      </c>
      <c r="C11" s="1" t="s">
        <v>87</v>
      </c>
      <c r="D11" s="1" t="s">
        <v>88</v>
      </c>
      <c r="E11" s="1" t="s">
        <v>89</v>
      </c>
      <c r="F11" s="1" t="s">
        <v>90</v>
      </c>
      <c r="G11" s="1" t="s">
        <v>59</v>
      </c>
      <c r="H11" s="1">
        <v>10</v>
      </c>
      <c r="I11" s="1">
        <v>66</v>
      </c>
      <c r="J11" s="1">
        <v>660</v>
      </c>
      <c r="K11" s="4">
        <v>0</v>
      </c>
      <c r="L11" s="1">
        <v>660</v>
      </c>
      <c r="M11" s="1" t="s">
        <v>60</v>
      </c>
      <c r="N11" s="1" t="s">
        <v>91</v>
      </c>
      <c r="O11" s="1" t="s">
        <v>92</v>
      </c>
      <c r="P11" s="1" t="s">
        <v>63</v>
      </c>
    </row>
    <row r="12" spans="1:16" ht="13.2" x14ac:dyDescent="0.25">
      <c r="A12" s="1" t="s">
        <v>93</v>
      </c>
      <c r="B12" s="2">
        <v>45570</v>
      </c>
      <c r="C12" s="1" t="s">
        <v>94</v>
      </c>
      <c r="D12" s="1" t="s">
        <v>95</v>
      </c>
      <c r="E12" s="1" t="s">
        <v>96</v>
      </c>
      <c r="F12" s="1" t="s">
        <v>97</v>
      </c>
      <c r="G12" s="1" t="s">
        <v>21</v>
      </c>
      <c r="H12" s="1">
        <v>1</v>
      </c>
      <c r="I12" s="3">
        <v>1299</v>
      </c>
      <c r="J12" s="3">
        <v>1299</v>
      </c>
      <c r="K12" s="4">
        <v>0</v>
      </c>
      <c r="L12" s="3">
        <v>1299</v>
      </c>
      <c r="M12" s="1" t="s">
        <v>22</v>
      </c>
      <c r="N12" s="1" t="s">
        <v>98</v>
      </c>
      <c r="O12" s="1" t="s">
        <v>99</v>
      </c>
      <c r="P12" s="1" t="s">
        <v>44</v>
      </c>
    </row>
  </sheetData>
  <mergeCells count="1">
    <mergeCell ref="E1:P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D6331-65E6-4B35-A9EB-6C22BC38327C}">
  <dimension ref="A1:B5"/>
  <sheetViews>
    <sheetView workbookViewId="0">
      <selection activeCell="B5" sqref="B5"/>
    </sheetView>
  </sheetViews>
  <sheetFormatPr defaultRowHeight="13.2" x14ac:dyDescent="0.25"/>
  <cols>
    <col min="1" max="1" width="18" bestFit="1" customWidth="1"/>
    <col min="2" max="2" width="16.21875" bestFit="1" customWidth="1"/>
  </cols>
  <sheetData>
    <row r="1" spans="1:2" x14ac:dyDescent="0.25">
      <c r="A1" s="5" t="s">
        <v>100</v>
      </c>
      <c r="B1" t="s">
        <v>102</v>
      </c>
    </row>
    <row r="2" spans="1:2" x14ac:dyDescent="0.25">
      <c r="A2" s="6" t="s">
        <v>76</v>
      </c>
      <c r="B2" s="12">
        <v>4760</v>
      </c>
    </row>
    <row r="3" spans="1:2" x14ac:dyDescent="0.25">
      <c r="A3" s="6" t="s">
        <v>49</v>
      </c>
      <c r="B3" s="12">
        <v>9200</v>
      </c>
    </row>
    <row r="4" spans="1:2" x14ac:dyDescent="0.25">
      <c r="A4" s="6" t="s">
        <v>20</v>
      </c>
      <c r="B4" s="12">
        <v>74100</v>
      </c>
    </row>
    <row r="5" spans="1:2" x14ac:dyDescent="0.25">
      <c r="A5" s="6" t="s">
        <v>101</v>
      </c>
      <c r="B5" s="12">
        <v>88060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A774E-1DA2-427C-AF6C-039AFE62B714}">
  <dimension ref="A1:B11"/>
  <sheetViews>
    <sheetView workbookViewId="0">
      <selection activeCell="M12" sqref="M12"/>
    </sheetView>
  </sheetViews>
  <sheetFormatPr defaultRowHeight="13.2" x14ac:dyDescent="0.25"/>
  <cols>
    <col min="1" max="1" width="13.33203125" customWidth="1"/>
    <col min="2" max="2" width="18" customWidth="1"/>
  </cols>
  <sheetData>
    <row r="1" spans="1:2" x14ac:dyDescent="0.25">
      <c r="A1" s="5" t="s">
        <v>100</v>
      </c>
      <c r="B1" t="s">
        <v>102</v>
      </c>
    </row>
    <row r="2" spans="1:2" x14ac:dyDescent="0.25">
      <c r="A2" s="6" t="s">
        <v>24</v>
      </c>
      <c r="B2">
        <v>78860</v>
      </c>
    </row>
    <row r="3" spans="1:2" x14ac:dyDescent="0.25">
      <c r="A3" s="6" t="s">
        <v>70</v>
      </c>
      <c r="B3">
        <v>22000</v>
      </c>
    </row>
    <row r="4" spans="1:2" x14ac:dyDescent="0.25">
      <c r="A4" s="6" t="s">
        <v>34</v>
      </c>
      <c r="B4">
        <v>15300</v>
      </c>
    </row>
    <row r="5" spans="1:2" x14ac:dyDescent="0.25">
      <c r="A5" s="6" t="s">
        <v>53</v>
      </c>
      <c r="B5">
        <v>9200</v>
      </c>
    </row>
    <row r="6" spans="1:2" x14ac:dyDescent="0.25">
      <c r="A6" s="6" t="s">
        <v>84</v>
      </c>
      <c r="B6">
        <v>2945</v>
      </c>
    </row>
    <row r="7" spans="1:2" x14ac:dyDescent="0.25">
      <c r="A7" s="6" t="s">
        <v>99</v>
      </c>
      <c r="B7">
        <v>1299</v>
      </c>
    </row>
    <row r="8" spans="1:2" x14ac:dyDescent="0.25">
      <c r="A8" s="6" t="s">
        <v>62</v>
      </c>
      <c r="B8">
        <v>1250</v>
      </c>
    </row>
    <row r="9" spans="1:2" x14ac:dyDescent="0.25">
      <c r="A9" s="6" t="s">
        <v>43</v>
      </c>
      <c r="B9">
        <v>1050</v>
      </c>
    </row>
    <row r="10" spans="1:2" x14ac:dyDescent="0.25">
      <c r="A10" s="6" t="s">
        <v>92</v>
      </c>
      <c r="B10">
        <v>660</v>
      </c>
    </row>
    <row r="11" spans="1:2" x14ac:dyDescent="0.25">
      <c r="A11" s="6" t="s">
        <v>101</v>
      </c>
      <c r="B11">
        <v>132564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7665-54AA-4497-ADCE-B53463887D26}">
  <dimension ref="A4:B8"/>
  <sheetViews>
    <sheetView workbookViewId="0">
      <selection activeCell="C8" sqref="C8"/>
    </sheetView>
  </sheetViews>
  <sheetFormatPr defaultRowHeight="13.2" x14ac:dyDescent="0.25"/>
  <cols>
    <col min="1" max="1" width="11.6640625" bestFit="1" customWidth="1"/>
    <col min="2" max="2" width="17.5546875" bestFit="1" customWidth="1"/>
    <col min="3" max="3" width="25" customWidth="1"/>
    <col min="4" max="4" width="8.109375" bestFit="1" customWidth="1"/>
    <col min="5" max="7" width="7.109375" bestFit="1" customWidth="1"/>
    <col min="8" max="8" width="25" bestFit="1" customWidth="1"/>
    <col min="9" max="10" width="7.33203125" bestFit="1" customWidth="1"/>
    <col min="11" max="13" width="6.33203125" bestFit="1" customWidth="1"/>
    <col min="14" max="14" width="23" bestFit="1" customWidth="1"/>
    <col min="15" max="15" width="30.109375" bestFit="1" customWidth="1"/>
  </cols>
  <sheetData>
    <row r="4" spans="1:2" x14ac:dyDescent="0.25">
      <c r="A4" s="5" t="s">
        <v>104</v>
      </c>
      <c r="B4" t="s">
        <v>108</v>
      </c>
    </row>
    <row r="5" spans="1:2" x14ac:dyDescent="0.25">
      <c r="A5" s="6" t="s">
        <v>105</v>
      </c>
      <c r="B5" s="12">
        <v>1</v>
      </c>
    </row>
    <row r="6" spans="1:2" x14ac:dyDescent="0.25">
      <c r="A6" s="6" t="s">
        <v>106</v>
      </c>
      <c r="B6" s="12">
        <v>1</v>
      </c>
    </row>
    <row r="7" spans="1:2" x14ac:dyDescent="0.25">
      <c r="A7" s="6" t="s">
        <v>107</v>
      </c>
      <c r="B7" s="12">
        <v>1</v>
      </c>
    </row>
    <row r="8" spans="1:2" x14ac:dyDescent="0.25">
      <c r="A8" s="6" t="s">
        <v>101</v>
      </c>
      <c r="B8" s="12">
        <v>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7FE3-1765-473D-8796-566E22393CA2}">
  <dimension ref="A1:B3"/>
  <sheetViews>
    <sheetView workbookViewId="0">
      <selection activeCell="O7" sqref="O7"/>
    </sheetView>
  </sheetViews>
  <sheetFormatPr defaultRowHeight="13.2" x14ac:dyDescent="0.25"/>
  <cols>
    <col min="1" max="1" width="12.21875" bestFit="1" customWidth="1"/>
    <col min="2" max="2" width="17.5546875" bestFit="1" customWidth="1"/>
  </cols>
  <sheetData>
    <row r="1" spans="1:2" x14ac:dyDescent="0.25">
      <c r="A1" s="5" t="s">
        <v>100</v>
      </c>
      <c r="B1" t="s">
        <v>108</v>
      </c>
    </row>
    <row r="2" spans="1:2" x14ac:dyDescent="0.25">
      <c r="A2" s="6" t="s">
        <v>25</v>
      </c>
      <c r="B2" s="12">
        <v>3</v>
      </c>
    </row>
    <row r="3" spans="1:2" x14ac:dyDescent="0.25">
      <c r="A3" s="6" t="s">
        <v>101</v>
      </c>
      <c r="B3" s="12">
        <v>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9CEC4-2359-4245-B984-6CA2AB78F68D}">
  <sheetPr>
    <pageSetUpPr autoPageBreaks="0"/>
  </sheetPr>
  <dimension ref="A1:AB21"/>
  <sheetViews>
    <sheetView showGridLines="0" showRowColHeaders="0" tabSelected="1" zoomScale="85" zoomScaleNormal="85" workbookViewId="0">
      <selection activeCell="R8" sqref="R8"/>
    </sheetView>
  </sheetViews>
  <sheetFormatPr defaultRowHeight="13.2" x14ac:dyDescent="0.25"/>
  <cols>
    <col min="1" max="9" width="8.88671875" style="7"/>
    <col min="10" max="10" width="9.77734375" style="7" customWidth="1"/>
    <col min="11" max="16384" width="8.88671875" style="7"/>
  </cols>
  <sheetData>
    <row r="1" spans="1:28" s="8" customFormat="1" ht="72.599999999999994" customHeight="1" x14ac:dyDescent="0.25">
      <c r="A1" s="11" t="s">
        <v>109</v>
      </c>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1" spans="15:15" x14ac:dyDescent="0.25">
      <c r="O21" s="9"/>
    </row>
  </sheetData>
  <mergeCells count="1">
    <mergeCell ref="A1:AB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make a table to export sheets </vt:lpstr>
      <vt:lpstr>Sheet6</vt:lpstr>
      <vt:lpstr>Sheet5</vt:lpstr>
      <vt:lpstr>Sheet1</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Vast</dc:creator>
  <cp:lastModifiedBy>Arya Vast</cp:lastModifiedBy>
  <dcterms:created xsi:type="dcterms:W3CDTF">2025-10-14T11:36:27Z</dcterms:created>
  <dcterms:modified xsi:type="dcterms:W3CDTF">2026-01-06T09:27:12Z</dcterms:modified>
</cp:coreProperties>
</file>